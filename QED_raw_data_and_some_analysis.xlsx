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ls Inequality" sheetId="1" r:id="rId5"/>
    <sheet state="visible" name="Tomography 1" sheetId="2" r:id="rId6"/>
    <sheet state="visible" name="Tomography 2" sheetId="3" r:id="rId7"/>
  </sheets>
  <definedNames/>
  <calcPr/>
</workbook>
</file>

<file path=xl/sharedStrings.xml><?xml version="1.0" encoding="utf-8"?>
<sst xmlns="http://schemas.openxmlformats.org/spreadsheetml/2006/main" count="366" uniqueCount="54">
  <si>
    <t>State HH+VV</t>
  </si>
  <si>
    <t>a</t>
  </si>
  <si>
    <t>a⟂</t>
  </si>
  <si>
    <t>a'</t>
  </si>
  <si>
    <t>a'⟂</t>
  </si>
  <si>
    <t>Theoretical</t>
  </si>
  <si>
    <t>Experimental</t>
  </si>
  <si>
    <t>Error</t>
  </si>
  <si>
    <t>Total Error</t>
  </si>
  <si>
    <t>Systematic Error</t>
  </si>
  <si>
    <t>E(a,b)</t>
  </si>
  <si>
    <t>b</t>
  </si>
  <si>
    <t>E(a',b)</t>
  </si>
  <si>
    <t>b⟂</t>
  </si>
  <si>
    <t>E(a,b')</t>
  </si>
  <si>
    <t>A</t>
  </si>
  <si>
    <t>B</t>
  </si>
  <si>
    <t>A(rad)</t>
  </si>
  <si>
    <t>B(rad)</t>
  </si>
  <si>
    <t>Total Systematic Error</t>
  </si>
  <si>
    <t>b'</t>
  </si>
  <si>
    <t>E(a',b')</t>
  </si>
  <si>
    <t>b'⟂</t>
  </si>
  <si>
    <t>S(a,a',b,b')</t>
  </si>
  <si>
    <t>nΔ</t>
  </si>
  <si>
    <t>State HH-VV</t>
  </si>
  <si>
    <t>State HV+VH</t>
  </si>
  <si>
    <t>State HV-VH</t>
  </si>
  <si>
    <t>WP flipped</t>
  </si>
  <si>
    <t>Channel 1</t>
  </si>
  <si>
    <t>Channel 2</t>
  </si>
  <si>
    <t>State</t>
  </si>
  <si>
    <t>QWP Angle</t>
  </si>
  <si>
    <t>LP Angle</t>
  </si>
  <si>
    <t>Photon Count</t>
  </si>
  <si>
    <t>H</t>
  </si>
  <si>
    <t>V</t>
  </si>
  <si>
    <t>P</t>
  </si>
  <si>
    <t>M</t>
  </si>
  <si>
    <t>R</t>
  </si>
  <si>
    <t>L</t>
  </si>
  <si>
    <t>Tx</t>
  </si>
  <si>
    <t>Density Matrix</t>
  </si>
  <si>
    <t>Ty</t>
  </si>
  <si>
    <t>Tz</t>
  </si>
  <si>
    <t>Purity</t>
  </si>
  <si>
    <t>HH+VV</t>
  </si>
  <si>
    <t>HH-VV</t>
  </si>
  <si>
    <t>Counts</t>
  </si>
  <si>
    <t>z</t>
  </si>
  <si>
    <t>x</t>
  </si>
  <si>
    <t>y</t>
  </si>
  <si>
    <t>Frequencies</t>
  </si>
  <si>
    <t>Correlations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</si>
</sst>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6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1" fillId="2" fontId="4" numFmtId="0" xfId="0" applyAlignment="1" applyBorder="1" applyFill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readingOrder="0" vertical="center"/>
    </xf>
    <xf borderId="5" fillId="4" fontId="5" numFmtId="0" xfId="0" applyAlignment="1" applyBorder="1" applyFill="1" applyFont="1">
      <alignment horizontal="center" readingOrder="0" vertical="center"/>
    </xf>
    <xf borderId="4" fillId="5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6" fillId="2" fontId="6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1" fillId="6" fontId="4" numFmtId="0" xfId="0" applyAlignment="1" applyBorder="1" applyFill="1" applyFont="1">
      <alignment horizontal="center" readingOrder="0" vertical="center"/>
    </xf>
    <xf borderId="2" fillId="6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readingOrder="0" vertical="center"/>
    </xf>
    <xf borderId="7" fillId="6" fontId="6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9" fillId="6" fontId="6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0" fillId="7" fontId="7" numFmtId="0" xfId="0" applyAlignment="1" applyFill="1" applyFon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center"/>
    </xf>
    <xf borderId="11" fillId="3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center" vertical="center"/>
    </xf>
    <xf borderId="0" fillId="8" fontId="7" numFmtId="0" xfId="0" applyAlignment="1" applyFill="1" applyFont="1">
      <alignment horizontal="right" vertical="bottom"/>
    </xf>
    <xf borderId="4" fillId="9" fontId="2" numFmtId="0" xfId="0" applyAlignment="1" applyBorder="1" applyFill="1" applyFont="1">
      <alignment horizontal="center" readingOrder="0" vertical="center"/>
    </xf>
    <xf borderId="5" fillId="9" fontId="2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0" fillId="0" fontId="1" numFmtId="165" xfId="0" applyAlignment="1" applyFont="1" applyNumberFormat="1">
      <alignment vertical="center"/>
    </xf>
    <xf borderId="0" fillId="0" fontId="7" numFmtId="0" xfId="0" applyAlignment="1" applyFont="1">
      <alignment horizontal="right" readingOrder="0" vertical="bottom"/>
    </xf>
    <xf borderId="4" fillId="5" fontId="4" numFmtId="0" xfId="0" applyAlignment="1" applyBorder="1" applyFont="1">
      <alignment horizontal="center" vertical="center"/>
    </xf>
    <xf borderId="0" fillId="0" fontId="1" numFmtId="0" xfId="0" applyFont="1"/>
    <xf borderId="1" fillId="0" fontId="8" numFmtId="0" xfId="0" applyAlignment="1" applyBorder="1" applyFont="1">
      <alignment horizontal="center" readingOrder="0" vertical="center"/>
    </xf>
    <xf borderId="1" fillId="10" fontId="9" numFmtId="0" xfId="0" applyAlignment="1" applyBorder="1" applyFill="1" applyFont="1">
      <alignment horizontal="center"/>
    </xf>
    <xf borderId="2" fillId="10" fontId="9" numFmtId="0" xfId="0" applyAlignment="1" applyBorder="1" applyFont="1">
      <alignment horizontal="center"/>
    </xf>
    <xf borderId="3" fillId="10" fontId="9" numFmtId="0" xfId="0" applyAlignment="1" applyBorder="1" applyFont="1">
      <alignment horizontal="center"/>
    </xf>
    <xf borderId="0" fillId="0" fontId="7" numFmtId="0" xfId="0" applyFont="1"/>
    <xf borderId="4" fillId="0" fontId="7" numFmtId="0" xfId="0" applyBorder="1" applyFont="1"/>
    <xf borderId="4" fillId="11" fontId="9" numFmtId="0" xfId="0" applyAlignment="1" applyBorder="1" applyFill="1" applyFont="1">
      <alignment horizontal="center"/>
    </xf>
    <xf borderId="5" fillId="12" fontId="9" numFmtId="0" xfId="0" applyAlignment="1" applyBorder="1" applyFill="1" applyFont="1">
      <alignment horizontal="center"/>
    </xf>
    <xf borderId="4" fillId="13" fontId="9" numFmtId="0" xfId="0" applyAlignment="1" applyBorder="1" applyFill="1" applyFont="1">
      <alignment horizontal="center"/>
    </xf>
    <xf borderId="6" fillId="10" fontId="10" numFmtId="0" xfId="0" applyAlignment="1" applyBorder="1" applyFont="1">
      <alignment horizontal="center"/>
    </xf>
    <xf borderId="7" fillId="10" fontId="10" numFmtId="0" xfId="0" applyAlignment="1" applyBorder="1" applyFont="1">
      <alignment horizontal="center"/>
    </xf>
    <xf borderId="8" fillId="10" fontId="10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1" fillId="14" fontId="9" numFmtId="0" xfId="0" applyAlignment="1" applyBorder="1" applyFill="1" applyFont="1">
      <alignment horizontal="center"/>
    </xf>
    <xf borderId="2" fillId="14" fontId="10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9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6" fillId="14" fontId="9" numFmtId="0" xfId="0" applyAlignment="1" applyBorder="1" applyFont="1">
      <alignment horizontal="center"/>
    </xf>
    <xf borderId="7" fillId="14" fontId="10" numFmtId="0" xfId="0" applyAlignment="1" applyBorder="1" applyFont="1">
      <alignment horizontal="center"/>
    </xf>
    <xf borderId="8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10" fillId="14" fontId="9" numFmtId="0" xfId="0" applyAlignment="1" applyBorder="1" applyFont="1">
      <alignment horizontal="center"/>
    </xf>
    <xf borderId="9" fillId="14" fontId="10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1" fillId="11" fontId="9" numFmtId="0" xfId="0" applyAlignment="1" applyBorder="1" applyFont="1">
      <alignment horizontal="center"/>
    </xf>
    <xf borderId="1" fillId="12" fontId="9" numFmtId="0" xfId="0" applyAlignment="1" applyBorder="1" applyFont="1">
      <alignment horizontal="center"/>
    </xf>
    <xf borderId="4" fillId="9" fontId="8" numFmtId="0" xfId="0" applyAlignment="1" applyBorder="1" applyFont="1">
      <alignment horizontal="center"/>
    </xf>
    <xf borderId="5" fillId="9" fontId="8" numFmtId="0" xfId="0" applyAlignment="1" applyBorder="1" applyFont="1">
      <alignment horizontal="center" vertical="center"/>
    </xf>
    <xf borderId="5" fillId="6" fontId="5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5" fillId="2" fontId="4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Font="1"/>
    <xf borderId="5" fillId="9" fontId="2" numFmtId="0" xfId="0" applyAlignment="1" applyBorder="1" applyFont="1">
      <alignment horizontal="center" readingOrder="0" vertical="center"/>
    </xf>
    <xf borderId="13" fillId="0" fontId="3" numFmtId="0" xfId="0" applyBorder="1" applyFont="1"/>
    <xf borderId="15" fillId="0" fontId="2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5" fillId="15" fontId="4" numFmtId="0" xfId="0" applyAlignment="1" applyBorder="1" applyFill="1" applyFont="1">
      <alignment horizontal="center" readingOrder="0" vertical="center"/>
    </xf>
    <xf borderId="12" fillId="0" fontId="3" numFmtId="0" xfId="0" applyBorder="1" applyFont="1"/>
    <xf borderId="6" fillId="6" fontId="5" numFmtId="0" xfId="0" applyAlignment="1" applyBorder="1" applyFont="1">
      <alignment horizontal="center" readingOrder="0" vertical="center"/>
    </xf>
    <xf borderId="8" fillId="0" fontId="3" numFmtId="0" xfId="0" applyBorder="1" applyFont="1"/>
    <xf borderId="7" fillId="0" fontId="3" numFmtId="0" xfId="0" applyBorder="1" applyFont="1"/>
    <xf borderId="6" fillId="2" fontId="4" numFmtId="0" xfId="0" applyAlignment="1" applyBorder="1" applyFont="1">
      <alignment horizontal="center" readingOrder="0" vertical="center"/>
    </xf>
    <xf borderId="5" fillId="16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1" fillId="4" fontId="5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5" fillId="3" fontId="4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4" fillId="0" fontId="3" numFmtId="0" xfId="0" applyBorder="1" applyFont="1"/>
    <xf borderId="11" fillId="14" fontId="4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1" fillId="6" fontId="4" numFmtId="0" xfId="0" applyAlignment="1" applyBorder="1" applyFont="1">
      <alignment horizontal="center" readingOrder="0" vertical="center"/>
    </xf>
    <xf borderId="4" fillId="9" fontId="2" numFmtId="0" xfId="0" applyAlignment="1" applyBorder="1" applyFont="1">
      <alignment horizontal="center" readingOrder="0" vertical="center"/>
    </xf>
    <xf borderId="4" fillId="10" fontId="4" numFmtId="0" xfId="0" applyAlignment="1" applyBorder="1" applyFont="1">
      <alignment horizontal="center" readingOrder="0" vertical="center"/>
    </xf>
    <xf borderId="4" fillId="6" fontId="4" numFmtId="0" xfId="0" applyAlignment="1" applyBorder="1" applyFont="1">
      <alignment horizontal="center" readingOrder="0" vertical="center"/>
    </xf>
    <xf borderId="4" fillId="16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9" max="9" width="11.25"/>
    <col customWidth="1" min="10" max="10" width="13.13"/>
    <col customWidth="1" min="11" max="11" width="13.0"/>
    <col customWidth="1" min="12" max="12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0</v>
      </c>
      <c r="C3" s="4"/>
      <c r="D3" s="5" t="s">
        <v>1</v>
      </c>
      <c r="E3" s="6" t="s">
        <v>2</v>
      </c>
      <c r="F3" s="7" t="s">
        <v>3</v>
      </c>
      <c r="G3" s="6" t="s">
        <v>4</v>
      </c>
      <c r="H3" s="1"/>
      <c r="I3" s="8"/>
      <c r="J3" s="9" t="s">
        <v>5</v>
      </c>
      <c r="K3" s="10" t="s">
        <v>6</v>
      </c>
      <c r="L3" s="11" t="s">
        <v>7</v>
      </c>
      <c r="M3" s="2" t="s">
        <v>8</v>
      </c>
      <c r="O3" s="2" t="s">
        <v>9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/>
      <c r="C4" s="13"/>
      <c r="D4" s="14">
        <v>0.0</v>
      </c>
      <c r="E4" s="15">
        <v>90.0</v>
      </c>
      <c r="F4" s="16">
        <v>45.0</v>
      </c>
      <c r="G4" s="15">
        <v>135.0</v>
      </c>
      <c r="H4" s="1"/>
      <c r="I4" s="17" t="s">
        <v>10</v>
      </c>
      <c r="J4" s="8">
        <f>COS(2*(D4-C5)*PI()/180)</f>
        <v>0.7071067812</v>
      </c>
      <c r="K4" s="18">
        <f>(D5-D6-E5+E6)/(D5+D6+E5+E6)</f>
        <v>0.6830073996</v>
      </c>
      <c r="L4" s="19">
        <f>2*(D5+E6)*(D6+E5)/POW(D5+D6+E6+E5,2)*SQRT(1/(D5+E6)+1/(D6+E5))</f>
        <v>0.005936931191</v>
      </c>
      <c r="M4" s="1"/>
      <c r="O4" s="20">
        <v>2.0</v>
      </c>
      <c r="P4" s="21"/>
      <c r="Q4" s="20">
        <f>O4*PI()/180</f>
        <v>0.03490658504</v>
      </c>
      <c r="R4" s="20">
        <f>SQRT(1/12*Q4^2)</f>
        <v>0.01007666313</v>
      </c>
      <c r="S4" s="21"/>
      <c r="T4" s="1"/>
      <c r="U4" s="1"/>
      <c r="V4" s="1"/>
      <c r="W4" s="1"/>
      <c r="X4" s="1"/>
      <c r="Y4" s="1"/>
      <c r="Z4" s="1"/>
    </row>
    <row r="5">
      <c r="A5" s="1"/>
      <c r="B5" s="22" t="s">
        <v>11</v>
      </c>
      <c r="C5" s="23">
        <v>22.5</v>
      </c>
      <c r="D5" s="24">
        <v>8019.0</v>
      </c>
      <c r="E5" s="25">
        <v>881.0</v>
      </c>
      <c r="F5" s="24">
        <v>7333.0</v>
      </c>
      <c r="G5" s="25">
        <v>2453.0</v>
      </c>
      <c r="I5" s="26" t="s">
        <v>12</v>
      </c>
      <c r="J5" s="8">
        <f>COS(2*(F4-C5)*PI()/180)</f>
        <v>0.7071067812</v>
      </c>
      <c r="K5" s="18">
        <f>(F5-F6-G5+G6)/(F5+F6+G5+G6)</f>
        <v>0.601763691</v>
      </c>
      <c r="L5" s="19">
        <f>2*(F5+G6)*(F6+G5)/POW(F5+G6+F6+G5,2)*SQRT(1/(F5+G6)+1/(F6+G5))</f>
        <v>0.006384492104</v>
      </c>
      <c r="M5" s="1"/>
      <c r="O5" s="21"/>
      <c r="P5" s="21"/>
      <c r="Q5" s="21"/>
      <c r="R5" s="21"/>
      <c r="S5" s="21"/>
      <c r="T5" s="1"/>
      <c r="U5" s="1"/>
      <c r="V5" s="1"/>
      <c r="W5" s="1"/>
      <c r="X5" s="1"/>
      <c r="Y5" s="1"/>
      <c r="Z5" s="1"/>
    </row>
    <row r="6">
      <c r="A6" s="1"/>
      <c r="B6" s="27" t="s">
        <v>13</v>
      </c>
      <c r="C6" s="28">
        <v>112.5</v>
      </c>
      <c r="D6" s="29">
        <v>1518.0</v>
      </c>
      <c r="E6" s="30">
        <v>4718.0</v>
      </c>
      <c r="F6" s="29">
        <v>663.0</v>
      </c>
      <c r="G6" s="30">
        <v>5200.0</v>
      </c>
      <c r="I6" s="26" t="s">
        <v>14</v>
      </c>
      <c r="J6" s="8">
        <f>COS(2*(D4-C7)*PI()/180)</f>
        <v>-0.7071067812</v>
      </c>
      <c r="K6" s="18">
        <f>(D7-D8-E7+E8)/(D7+D8+E7+E8)</f>
        <v>-0.6990734338</v>
      </c>
      <c r="L6" s="19">
        <f>2*(D7+E8)*(D8+E7)/POW(D7+D8+E8+E7,2)*SQRT(1/(D7+E8)+1/(D8+E7))</f>
        <v>0.005945962432</v>
      </c>
      <c r="M6" s="1"/>
      <c r="O6" s="21" t="s">
        <v>15</v>
      </c>
      <c r="P6" s="21" t="s">
        <v>16</v>
      </c>
      <c r="Q6" s="21" t="s">
        <v>17</v>
      </c>
      <c r="R6" s="21" t="s">
        <v>18</v>
      </c>
      <c r="S6" s="21" t="s">
        <v>7</v>
      </c>
      <c r="T6" s="2" t="s">
        <v>19</v>
      </c>
      <c r="U6" s="1"/>
      <c r="V6" s="1"/>
      <c r="W6" s="1"/>
      <c r="X6" s="1"/>
      <c r="Y6" s="1"/>
      <c r="Z6" s="1"/>
    </row>
    <row r="7">
      <c r="A7" s="1"/>
      <c r="B7" s="31" t="s">
        <v>20</v>
      </c>
      <c r="C7" s="32">
        <v>67.5</v>
      </c>
      <c r="D7" s="24">
        <v>1330.0</v>
      </c>
      <c r="E7" s="25">
        <v>4765.0</v>
      </c>
      <c r="F7" s="24">
        <v>5539.0</v>
      </c>
      <c r="G7" s="25">
        <v>713.0</v>
      </c>
      <c r="I7" s="33" t="s">
        <v>21</v>
      </c>
      <c r="J7" s="8">
        <f>COS(2*(F4-C7)*PI()/180)</f>
        <v>0.7071067812</v>
      </c>
      <c r="K7" s="18">
        <f>(F7-F8-G7+G8)/(F7+F8+G7+G8)</f>
        <v>0.6043927481</v>
      </c>
      <c r="L7" s="19">
        <f>2*(F7+G8)*(F8+G7)/POW(F7+G8+F8+G7,2)*SQRT(1/(F7+G8)+1/(F8+G7))</f>
        <v>0.006422176948</v>
      </c>
      <c r="M7" s="1"/>
      <c r="O7" s="34">
        <v>0.0</v>
      </c>
      <c r="P7" s="34">
        <v>22.5</v>
      </c>
      <c r="Q7" s="20">
        <f t="shared" ref="Q7:R7" si="1">O7*PI()/180</f>
        <v>0</v>
      </c>
      <c r="R7" s="20">
        <f t="shared" si="1"/>
        <v>0.3926990817</v>
      </c>
      <c r="S7" s="35">
        <f t="shared" ref="S7:S10" si="4">2*SQRT(2)*ABS(SIN(2*(Q7-R7)))*$R$4</f>
        <v>0.02015332627</v>
      </c>
      <c r="T7" s="36">
        <f>SQRT(S7^2+S8^2+S9^2+S10^2)</f>
        <v>0.04030665254</v>
      </c>
      <c r="U7" s="1"/>
      <c r="V7" s="1"/>
      <c r="W7" s="1"/>
      <c r="X7" s="1"/>
      <c r="Y7" s="1"/>
      <c r="Z7" s="1"/>
    </row>
    <row r="8">
      <c r="A8" s="1"/>
      <c r="B8" s="27" t="s">
        <v>22</v>
      </c>
      <c r="C8" s="28">
        <v>157.5</v>
      </c>
      <c r="D8" s="29">
        <v>7521.0</v>
      </c>
      <c r="E8" s="30">
        <v>846.0</v>
      </c>
      <c r="F8" s="29">
        <v>2331.0</v>
      </c>
      <c r="G8" s="30">
        <v>6806.0</v>
      </c>
      <c r="I8" s="3" t="s">
        <v>23</v>
      </c>
      <c r="J8" s="37">
        <f t="shared" ref="J8:K8" si="2">J4+J5-J6+J7</f>
        <v>2.828427125</v>
      </c>
      <c r="K8" s="38">
        <f t="shared" si="2"/>
        <v>2.588237272</v>
      </c>
      <c r="L8" s="39">
        <f>SQRT(L4^2+L5^2+L6^2+L7^2)</f>
        <v>0.01235344961</v>
      </c>
      <c r="M8" s="1">
        <f>SQRT(L8^2+$T$7^2)</f>
        <v>0.04215725271</v>
      </c>
      <c r="O8" s="40">
        <v>45.0</v>
      </c>
      <c r="P8" s="40">
        <v>22.5</v>
      </c>
      <c r="Q8" s="20">
        <f t="shared" ref="Q8:R8" si="3">O8*PI()/180</f>
        <v>0.7853981634</v>
      </c>
      <c r="R8" s="20">
        <f t="shared" si="3"/>
        <v>0.3926990817</v>
      </c>
      <c r="S8" s="35">
        <f t="shared" si="4"/>
        <v>0.02015332627</v>
      </c>
      <c r="T8" s="1"/>
      <c r="U8" s="1"/>
      <c r="V8" s="1"/>
      <c r="W8" s="1"/>
      <c r="X8" s="1"/>
      <c r="Y8" s="1"/>
      <c r="Z8" s="1"/>
    </row>
    <row r="9">
      <c r="A9" s="1"/>
      <c r="B9" s="2"/>
      <c r="C9" s="1"/>
      <c r="D9" s="1"/>
      <c r="E9" s="1"/>
      <c r="F9" s="1"/>
      <c r="G9" s="1"/>
      <c r="H9" s="1"/>
      <c r="I9" s="41" t="s">
        <v>24</v>
      </c>
      <c r="J9" s="42">
        <f>ABS(K8-2)/L8</f>
        <v>47.61724788</v>
      </c>
      <c r="K9" s="43"/>
      <c r="L9" s="44"/>
      <c r="M9" s="45">
        <f>ABS(K8-2)/M8</f>
        <v>13.95340623</v>
      </c>
      <c r="O9" s="34">
        <v>0.0</v>
      </c>
      <c r="P9" s="34">
        <v>67.5</v>
      </c>
      <c r="Q9" s="20">
        <f t="shared" ref="Q9:R9" si="5">O9*PI()/180</f>
        <v>0</v>
      </c>
      <c r="R9" s="20">
        <f t="shared" si="5"/>
        <v>1.178097245</v>
      </c>
      <c r="S9" s="35">
        <f t="shared" si="4"/>
        <v>0.02015332627</v>
      </c>
      <c r="T9" s="1"/>
      <c r="U9" s="1"/>
      <c r="V9" s="1"/>
      <c r="W9" s="1"/>
      <c r="X9" s="1"/>
      <c r="Y9" s="1"/>
      <c r="Z9" s="1"/>
    </row>
    <row r="10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O10" s="40">
        <v>45.0</v>
      </c>
      <c r="P10" s="40">
        <v>67.5</v>
      </c>
      <c r="Q10" s="20">
        <f t="shared" ref="Q10:R10" si="6">O10*PI()/180</f>
        <v>0.7853981634</v>
      </c>
      <c r="R10" s="20">
        <f t="shared" si="6"/>
        <v>1.178097245</v>
      </c>
      <c r="S10" s="35">
        <f t="shared" si="4"/>
        <v>0.02015332627</v>
      </c>
      <c r="T10" s="1"/>
      <c r="U10" s="1"/>
      <c r="V10" s="1"/>
      <c r="W10" s="1"/>
      <c r="X10" s="1"/>
      <c r="Y10" s="1"/>
      <c r="Z10" s="1"/>
    </row>
    <row r="11">
      <c r="A11" s="1"/>
      <c r="B11" s="3" t="s">
        <v>25</v>
      </c>
      <c r="C11" s="4"/>
      <c r="D11" s="5" t="s">
        <v>1</v>
      </c>
      <c r="E11" s="6" t="s">
        <v>2</v>
      </c>
      <c r="F11" s="7" t="s">
        <v>3</v>
      </c>
      <c r="G11" s="6" t="s">
        <v>4</v>
      </c>
      <c r="H11" s="1"/>
      <c r="I11" s="8"/>
      <c r="J11" s="9" t="s">
        <v>5</v>
      </c>
      <c r="K11" s="10" t="s">
        <v>6</v>
      </c>
      <c r="L11" s="11" t="s">
        <v>7</v>
      </c>
      <c r="M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/>
      <c r="C12" s="13"/>
      <c r="D12" s="14">
        <v>0.0</v>
      </c>
      <c r="E12" s="15">
        <v>90.0</v>
      </c>
      <c r="F12" s="16">
        <v>45.0</v>
      </c>
      <c r="G12" s="15">
        <v>135.0</v>
      </c>
      <c r="H12" s="1"/>
      <c r="I12" s="17" t="s">
        <v>10</v>
      </c>
      <c r="J12" s="8">
        <f>COS(2*(D12+C13)*PI()/180)</f>
        <v>0.7071067812</v>
      </c>
      <c r="K12" s="18">
        <f>(D13-D14-E13+E14)/(D13+D14+E13+E14)</f>
        <v>0.6485159563</v>
      </c>
      <c r="L12" s="19">
        <f>2*(D13+E14)*(D14+E13)/POW(D13+D14+E14+E13,2)*SQRT(1/(D13+E14)+1/(D14+E13))</f>
        <v>0.005685673505</v>
      </c>
      <c r="M12" s="1"/>
      <c r="N12" s="20"/>
      <c r="O12" s="20"/>
      <c r="P12" s="20"/>
      <c r="Q12" s="20"/>
      <c r="R12" s="35"/>
      <c r="S12" s="1"/>
      <c r="T12" s="1"/>
      <c r="U12" s="1"/>
      <c r="V12" s="1"/>
      <c r="W12" s="1"/>
      <c r="X12" s="1"/>
      <c r="Y12" s="1"/>
      <c r="Z12" s="1"/>
    </row>
    <row r="13">
      <c r="A13" s="1"/>
      <c r="B13" s="22" t="s">
        <v>11</v>
      </c>
      <c r="C13" s="23">
        <v>22.5</v>
      </c>
      <c r="D13" s="24">
        <v>12290.0</v>
      </c>
      <c r="E13" s="25">
        <v>636.0</v>
      </c>
      <c r="F13" s="24">
        <v>4264.0</v>
      </c>
      <c r="G13" s="25">
        <v>8224.0</v>
      </c>
      <c r="I13" s="26" t="s">
        <v>12</v>
      </c>
      <c r="J13" s="8">
        <f>COS(2*(F12+C13)*PI()/180)</f>
        <v>-0.7071067812</v>
      </c>
      <c r="K13" s="18">
        <f>(F13-F14-G13+G14)/(F13+F14+G13+G14)</f>
        <v>-0.4565325936</v>
      </c>
      <c r="L13" s="19">
        <f>2*(F13+G14)*(F14+G13)/POW(F13+G14+F14+G13,2)*SQRT(1/(F13+G14)+1/(F14+G13))</f>
        <v>0.006626881712</v>
      </c>
      <c r="M13" s="1"/>
      <c r="N13" s="20"/>
      <c r="O13" s="20"/>
      <c r="P13" s="20"/>
      <c r="Q13" s="20"/>
      <c r="R13" s="35"/>
      <c r="S13" s="1"/>
      <c r="T13" s="1"/>
      <c r="U13" s="1"/>
      <c r="V13" s="1"/>
      <c r="W13" s="1"/>
      <c r="X13" s="1"/>
      <c r="Y13" s="1"/>
      <c r="Z13" s="1"/>
    </row>
    <row r="14">
      <c r="A14" s="1"/>
      <c r="B14" s="27" t="s">
        <v>13</v>
      </c>
      <c r="C14" s="28">
        <v>112.5</v>
      </c>
      <c r="D14" s="29">
        <v>2514.0</v>
      </c>
      <c r="E14" s="30">
        <v>2484.0</v>
      </c>
      <c r="F14" s="29">
        <v>4903.0</v>
      </c>
      <c r="G14" s="30">
        <v>634.0</v>
      </c>
      <c r="I14" s="26" t="s">
        <v>14</v>
      </c>
      <c r="J14" s="8">
        <f>COS(2*(D12+C15)*PI()/180)</f>
        <v>-0.7071067812</v>
      </c>
      <c r="K14" s="18">
        <f>(D15-D16-E15+E16)/(D15+D16+E15+E16)</f>
        <v>-0.7371710526</v>
      </c>
      <c r="L14" s="19">
        <f>2*(D15+E16)*(D16+E15)/POW(D15+D16+E16+E15,2)*SQRT(1/(D15+E16)+1/(D16+E15))</f>
        <v>0.005003172454</v>
      </c>
      <c r="M14" s="1"/>
      <c r="N14" s="20"/>
      <c r="O14" s="46"/>
      <c r="P14" s="20"/>
      <c r="Q14" s="20"/>
      <c r="R14" s="35"/>
      <c r="S14" s="1"/>
      <c r="T14" s="1"/>
      <c r="U14" s="1"/>
      <c r="V14" s="1"/>
      <c r="W14" s="1"/>
      <c r="X14" s="1"/>
      <c r="Y14" s="1"/>
      <c r="Z14" s="1"/>
    </row>
    <row r="15">
      <c r="A15" s="1"/>
      <c r="B15" s="31" t="s">
        <v>20</v>
      </c>
      <c r="C15" s="32">
        <v>67.5</v>
      </c>
      <c r="D15" s="24">
        <v>2032.0</v>
      </c>
      <c r="E15" s="25">
        <v>2691.0</v>
      </c>
      <c r="F15" s="24">
        <v>433.0</v>
      </c>
      <c r="G15" s="25">
        <v>4241.0</v>
      </c>
      <c r="I15" s="33" t="s">
        <v>21</v>
      </c>
      <c r="J15" s="8">
        <f>COS(2*(F12+C15)*PI()/180)</f>
        <v>-0.7071067812</v>
      </c>
      <c r="K15" s="18">
        <f>(F15-F16-G15+G16)/(F15+F16+G15+G16)</f>
        <v>-0.4443219405</v>
      </c>
      <c r="L15" s="19">
        <f>2*(F15+G16)*(F16+G15)/POW(F15+G16+F16+G15,2)*SQRT(1/(F15+G16)+1/(F16+G15))</f>
        <v>0.006651582586</v>
      </c>
      <c r="M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7" t="s">
        <v>22</v>
      </c>
      <c r="C16" s="28">
        <v>157.5</v>
      </c>
      <c r="D16" s="29">
        <v>13152.0</v>
      </c>
      <c r="E16" s="30">
        <v>365.0</v>
      </c>
      <c r="F16" s="29">
        <v>8859.0</v>
      </c>
      <c r="G16" s="30">
        <v>4607.0</v>
      </c>
      <c r="I16" s="3" t="s">
        <v>23</v>
      </c>
      <c r="J16" s="37">
        <f t="shared" ref="J16:K16" si="7">J12+J13-J14+J15</f>
        <v>0</v>
      </c>
      <c r="K16" s="38">
        <f t="shared" si="7"/>
        <v>0.4848324748</v>
      </c>
      <c r="L16" s="47">
        <f>SQRT(L12^2+L13^2+L14^2+L15^2)</f>
        <v>0.01206307299</v>
      </c>
      <c r="M16" s="1">
        <f>SQRT(L16^2+$T$7^2)</f>
        <v>0.04207307891</v>
      </c>
      <c r="N16" s="20"/>
      <c r="O16" s="20"/>
      <c r="P16" s="20"/>
      <c r="Q16" s="20"/>
      <c r="R16" s="35"/>
      <c r="S16" s="1"/>
      <c r="T16" s="1"/>
      <c r="U16" s="1"/>
      <c r="V16" s="1"/>
      <c r="W16" s="1"/>
      <c r="X16" s="1"/>
      <c r="Y16" s="1"/>
      <c r="Z16" s="1"/>
    </row>
    <row r="17">
      <c r="A17" s="1"/>
      <c r="I17" s="41" t="s">
        <v>24</v>
      </c>
      <c r="J17" s="42">
        <f>ABS(K16-2)/L16</f>
        <v>125.6037766</v>
      </c>
      <c r="K17" s="43"/>
      <c r="L17" s="44"/>
      <c r="M17" s="45">
        <f>ABS(K16-2)/M16</f>
        <v>36.01275601</v>
      </c>
      <c r="N17" s="20"/>
      <c r="O17" s="20"/>
      <c r="P17" s="20"/>
      <c r="Q17" s="20"/>
      <c r="R17" s="35"/>
      <c r="S17" s="1"/>
      <c r="T17" s="1"/>
      <c r="U17" s="1"/>
      <c r="V17" s="1"/>
      <c r="W17" s="1"/>
      <c r="X17" s="1"/>
      <c r="Y17" s="1"/>
      <c r="Z17" s="1"/>
    </row>
    <row r="18">
      <c r="A18" s="1"/>
      <c r="M18" s="1"/>
      <c r="N18" s="20"/>
      <c r="O18" s="20"/>
      <c r="P18" s="20"/>
      <c r="Q18" s="20"/>
      <c r="R18" s="35"/>
      <c r="S18" s="1"/>
      <c r="T18" s="1"/>
      <c r="U18" s="1"/>
      <c r="V18" s="1"/>
      <c r="W18" s="1"/>
      <c r="X18" s="1"/>
      <c r="Y18" s="1"/>
      <c r="Z18" s="1"/>
    </row>
    <row r="19">
      <c r="A19" s="1"/>
      <c r="H19" s="1"/>
      <c r="M19" s="1"/>
      <c r="S19" s="1"/>
      <c r="T19" s="1"/>
      <c r="U19" s="1"/>
      <c r="V19" s="1"/>
      <c r="W19" s="1"/>
      <c r="X19" s="1"/>
      <c r="Y19" s="1"/>
      <c r="Z19" s="1"/>
    </row>
    <row r="20">
      <c r="A20" s="2">
        <v>45.0</v>
      </c>
      <c r="B20" s="3" t="s">
        <v>26</v>
      </c>
      <c r="C20" s="4"/>
      <c r="D20" s="5" t="s">
        <v>1</v>
      </c>
      <c r="E20" s="6" t="s">
        <v>2</v>
      </c>
      <c r="F20" s="7" t="s">
        <v>3</v>
      </c>
      <c r="G20" s="6" t="s">
        <v>4</v>
      </c>
      <c r="H20" s="1"/>
      <c r="I20" s="8"/>
      <c r="J20" s="9" t="s">
        <v>5</v>
      </c>
      <c r="K20" s="10" t="s">
        <v>6</v>
      </c>
      <c r="L20" s="11" t="s">
        <v>7</v>
      </c>
      <c r="M20" s="1"/>
      <c r="N20" s="20"/>
      <c r="O20" s="20"/>
      <c r="P20" s="20"/>
      <c r="Q20" s="20"/>
      <c r="R20" s="35"/>
      <c r="S20" s="1"/>
      <c r="T20" s="1"/>
      <c r="U20" s="1"/>
      <c r="V20" s="1"/>
      <c r="W20" s="1"/>
      <c r="X20" s="1"/>
      <c r="Y20" s="1"/>
      <c r="Z20" s="1"/>
    </row>
    <row r="21">
      <c r="A21" s="2">
        <v>45.0</v>
      </c>
      <c r="B21" s="12"/>
      <c r="C21" s="13"/>
      <c r="D21" s="14">
        <v>0.0</v>
      </c>
      <c r="E21" s="15">
        <v>90.0</v>
      </c>
      <c r="F21" s="16">
        <v>45.0</v>
      </c>
      <c r="G21" s="15">
        <v>135.0</v>
      </c>
      <c r="H21" s="1"/>
      <c r="I21" s="17" t="s">
        <v>10</v>
      </c>
      <c r="J21" s="8">
        <f>-COS(2*(D21+C22)*PI()/180)</f>
        <v>-0.7071067812</v>
      </c>
      <c r="K21" s="18">
        <f>(D22-D23-E22+E23)/(D22+D23+E22+E23)</f>
        <v>-0.5354698007</v>
      </c>
      <c r="L21" s="19">
        <f>2*(D22+E23)*(D23+E22)/POW(D22+D23+E23+E22,2)*SQRT(1/(D22+E23)+1/(D23+E22))</f>
        <v>0.006573452672</v>
      </c>
      <c r="M21" s="1"/>
      <c r="N21" s="20"/>
      <c r="O21" s="20"/>
      <c r="P21" s="20"/>
      <c r="Q21" s="20"/>
      <c r="R21" s="35"/>
      <c r="S21" s="1"/>
      <c r="T21" s="1"/>
      <c r="U21" s="1"/>
      <c r="V21" s="1"/>
      <c r="W21" s="1"/>
      <c r="X21" s="1"/>
      <c r="Y21" s="1"/>
      <c r="Z21" s="1"/>
    </row>
    <row r="22">
      <c r="A22" s="1"/>
      <c r="B22" s="22" t="s">
        <v>11</v>
      </c>
      <c r="C22" s="23">
        <v>22.5</v>
      </c>
      <c r="D22" s="24">
        <v>1683.0</v>
      </c>
      <c r="E22" s="25">
        <v>8159.0</v>
      </c>
      <c r="F22" s="24">
        <v>10386.0</v>
      </c>
      <c r="G22" s="25">
        <v>1671.0</v>
      </c>
      <c r="I22" s="26" t="s">
        <v>12</v>
      </c>
      <c r="J22" s="8">
        <f>-COS(2*(F21+C22)*PI()/180)</f>
        <v>0.7071067812</v>
      </c>
      <c r="K22" s="18">
        <f>(F22-F23-G22+G23)/(F22+F23+G22+G23)</f>
        <v>0.7429389076</v>
      </c>
      <c r="L22" s="19">
        <f>2*(F22+G23)*(F23+G22)/POW(F22+G23+F23+G22,2)*SQRT(1/(F22+G23)+1/(F23+G22))</f>
        <v>0.005279554469</v>
      </c>
      <c r="M22" s="1"/>
      <c r="N22" s="20"/>
      <c r="O22" s="20"/>
      <c r="P22" s="20"/>
      <c r="Q22" s="20"/>
      <c r="R22" s="35"/>
      <c r="S22" s="1"/>
      <c r="T22" s="1"/>
      <c r="U22" s="1"/>
      <c r="V22" s="1"/>
      <c r="W22" s="1"/>
      <c r="X22" s="1"/>
      <c r="Y22" s="1"/>
      <c r="Z22" s="1"/>
    </row>
    <row r="23">
      <c r="A23" s="1"/>
      <c r="B23" s="27" t="s">
        <v>13</v>
      </c>
      <c r="C23" s="28">
        <v>112.5</v>
      </c>
      <c r="D23" s="29">
        <v>4514.0</v>
      </c>
      <c r="E23" s="30">
        <v>2151.0</v>
      </c>
      <c r="F23" s="29">
        <v>395.0</v>
      </c>
      <c r="G23" s="30">
        <v>3622.0</v>
      </c>
      <c r="I23" s="26" t="s">
        <v>14</v>
      </c>
      <c r="J23" s="8">
        <f>-COS(2*(D21+C24)*PI()/180)</f>
        <v>0.7071067812</v>
      </c>
      <c r="K23" s="18">
        <f>(D24-D25-E24+E25)/(D24+D25+E24+E25)</f>
        <v>0.7771995643</v>
      </c>
      <c r="L23" s="19">
        <f>2*(D24+E25)*(D25+E24)/POW(D24+D25+E25+E24,2)*SQRT(1/(D24+E25)+1/(D25+E24))</f>
        <v>0.004894882179</v>
      </c>
      <c r="M23" s="1"/>
      <c r="N23" s="1"/>
      <c r="O23" s="4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1" t="s">
        <v>20</v>
      </c>
      <c r="C24" s="32">
        <v>67.5</v>
      </c>
      <c r="D24" s="24">
        <v>5421.0</v>
      </c>
      <c r="E24" s="25">
        <v>1325.0</v>
      </c>
      <c r="F24" s="24">
        <v>6522.0</v>
      </c>
      <c r="G24" s="25">
        <v>352.0</v>
      </c>
      <c r="I24" s="33" t="s">
        <v>21</v>
      </c>
      <c r="J24" s="8">
        <f>-COS(2*(F21+C24)*PI()/180)</f>
        <v>0.7071067812</v>
      </c>
      <c r="K24" s="18">
        <f>(F24-F25-G24+G25)/(F24+F25+G24+G25)</f>
        <v>0.403150842</v>
      </c>
      <c r="L24" s="19">
        <f>2*(F24+G25)*(F25+G24)/POW(F24+G25+F25+G24,2)*SQRT(1/(F24+G25)+1/(F25+G24))</f>
        <v>0.007109884362</v>
      </c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7" t="s">
        <v>22</v>
      </c>
      <c r="C25" s="28">
        <v>157.5</v>
      </c>
      <c r="D25" s="29">
        <v>516.0</v>
      </c>
      <c r="E25" s="30">
        <v>9264.0</v>
      </c>
      <c r="F25" s="29">
        <v>4592.0</v>
      </c>
      <c r="G25" s="30">
        <v>5101.0</v>
      </c>
      <c r="I25" s="3" t="s">
        <v>23</v>
      </c>
      <c r="J25" s="37">
        <f t="shared" ref="J25:K25" si="8">J21+J22-J23+J24</f>
        <v>0</v>
      </c>
      <c r="K25" s="38">
        <f t="shared" si="8"/>
        <v>-0.1665796154</v>
      </c>
      <c r="L25" s="47">
        <f>SQRT(L21^2+L22^2+L23^2+L24^2)</f>
        <v>0.01206624642</v>
      </c>
      <c r="M25" s="1">
        <f>SQRT(L25^2+$T$7^2)</f>
        <v>0.04207398889</v>
      </c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I26" s="41" t="s">
        <v>24</v>
      </c>
      <c r="J26" s="42">
        <f>ABS(K25-2)/L25</f>
        <v>179.5570503</v>
      </c>
      <c r="K26" s="43"/>
      <c r="L26" s="44"/>
      <c r="M26" s="45">
        <f>ABS(K25-2)/M25</f>
        <v>51.49451413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9" t="s">
        <v>27</v>
      </c>
      <c r="C29" s="4"/>
      <c r="D29" s="50" t="s">
        <v>1</v>
      </c>
      <c r="E29" s="51" t="s">
        <v>2</v>
      </c>
      <c r="F29" s="52" t="s">
        <v>3</v>
      </c>
      <c r="G29" s="51" t="s">
        <v>4</v>
      </c>
      <c r="H29" s="53"/>
      <c r="I29" s="54"/>
      <c r="J29" s="55" t="s">
        <v>5</v>
      </c>
      <c r="K29" s="56" t="s">
        <v>6</v>
      </c>
      <c r="L29" s="57" t="s">
        <v>7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2"/>
      <c r="C30" s="13"/>
      <c r="D30" s="58">
        <v>0.0</v>
      </c>
      <c r="E30" s="59">
        <v>90.0</v>
      </c>
      <c r="F30" s="60">
        <v>45.0</v>
      </c>
      <c r="G30" s="59">
        <v>135.0</v>
      </c>
      <c r="H30" s="53"/>
      <c r="I30" s="61" t="s">
        <v>10</v>
      </c>
      <c r="J30" s="62">
        <f>-COS(2*(D30-C31)*PI()/180)</f>
        <v>-0.7071067812</v>
      </c>
      <c r="K30" s="63">
        <f>(D31-D32-E31+E32)/(D31+D32+E31+E32)</f>
        <v>-0.7308342728</v>
      </c>
      <c r="L30" s="64">
        <f>2*(D31+E32)*(D32+E31)/POW(D31+D32+E32+E31,2)*SQRT(1/(D31+E32)+1/(D32+E31))</f>
        <v>0.005729488104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45.0</v>
      </c>
      <c r="B31" s="65" t="s">
        <v>11</v>
      </c>
      <c r="C31" s="66">
        <v>22.5</v>
      </c>
      <c r="D31" s="67">
        <v>460.0</v>
      </c>
      <c r="E31" s="68">
        <v>8017.0</v>
      </c>
      <c r="F31" s="67">
        <v>4601.0</v>
      </c>
      <c r="G31" s="68">
        <v>3883.0</v>
      </c>
      <c r="H31" s="21"/>
      <c r="I31" s="69" t="s">
        <v>12</v>
      </c>
      <c r="J31" s="62">
        <f>-COS(2*(F30-C31)*PI()/180)</f>
        <v>-0.7071067812</v>
      </c>
      <c r="K31" s="63">
        <f>(F31-F32-G31+G32)/(F31+F32+G31+G32)</f>
        <v>-0.3330082207</v>
      </c>
      <c r="L31" s="64">
        <f>2*(F31+G32)*(F32+G31)/POW(F31+G32+F32+G31,2)*SQRT(1/(F31+G32)+1/(F32+G31))</f>
        <v>0.007870280001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45.0</v>
      </c>
      <c r="B32" s="70" t="s">
        <v>13</v>
      </c>
      <c r="C32" s="71">
        <v>112.5</v>
      </c>
      <c r="D32" s="72">
        <v>4265.0</v>
      </c>
      <c r="E32" s="73">
        <v>1450.0</v>
      </c>
      <c r="F32" s="72">
        <v>5684.0</v>
      </c>
      <c r="G32" s="73">
        <v>186.0</v>
      </c>
      <c r="H32" s="21"/>
      <c r="I32" s="69" t="s">
        <v>14</v>
      </c>
      <c r="J32" s="62">
        <f>-COS(2*(D30-C33)*PI()/180)</f>
        <v>0.7071067812</v>
      </c>
      <c r="K32" s="63">
        <f>(D33-D34-E33+E34)/(D33+D34+E33+E34)</f>
        <v>0.6145964912</v>
      </c>
      <c r="L32" s="64">
        <f>2*(D33+E34)*(D34+E33)/POW(D33+D34+E34+E33,2)*SQRT(1/(D33+E34)+1/(D34+E33))</f>
        <v>0.006608188185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28</v>
      </c>
      <c r="B33" s="74" t="s">
        <v>20</v>
      </c>
      <c r="C33" s="75">
        <v>67.5</v>
      </c>
      <c r="D33" s="67">
        <v>3335.0</v>
      </c>
      <c r="E33" s="68">
        <v>1554.0</v>
      </c>
      <c r="F33" s="67">
        <v>223.0</v>
      </c>
      <c r="G33" s="68">
        <v>2541.0</v>
      </c>
      <c r="H33" s="21"/>
      <c r="I33" s="76" t="s">
        <v>21</v>
      </c>
      <c r="J33" s="62">
        <f>-COS(2*(F30-C33)*PI()/180)</f>
        <v>-0.7071067812</v>
      </c>
      <c r="K33" s="63">
        <f>(F33-F34-G33+G34)/(F33+F34+G33+G34)</f>
        <v>-0.7052915403</v>
      </c>
      <c r="L33" s="64">
        <f>2*(F33+G34)*(F34+G33)/POW(F33+G34+F34+G33,2)*SQRT(1/(F33+G34)+1/(F34+G33))</f>
        <v>0.005820386769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70" t="s">
        <v>22</v>
      </c>
      <c r="C34" s="71">
        <v>157.5</v>
      </c>
      <c r="D34" s="72">
        <v>1192.0</v>
      </c>
      <c r="E34" s="73">
        <v>8169.0</v>
      </c>
      <c r="F34" s="72">
        <v>10108.0</v>
      </c>
      <c r="G34" s="73">
        <v>1963.0</v>
      </c>
      <c r="H34" s="21"/>
      <c r="I34" s="77" t="s">
        <v>23</v>
      </c>
      <c r="J34" s="78">
        <f t="shared" ref="J34:K34" si="9">J30+J31-J32+J33</f>
        <v>-2.828427125</v>
      </c>
      <c r="K34" s="79">
        <f t="shared" si="9"/>
        <v>-2.383730525</v>
      </c>
      <c r="L34" s="57">
        <f>SQRT(L30^2+L31^2+L32^2+L33^2)</f>
        <v>0.01312681966</v>
      </c>
      <c r="M34" s="1">
        <f>SQRT(L34^2+$T$7^2)</f>
        <v>0.04239032476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1"/>
      <c r="C35" s="21"/>
      <c r="D35" s="21"/>
      <c r="E35" s="21"/>
      <c r="F35" s="21"/>
      <c r="G35" s="21"/>
      <c r="H35" s="21"/>
      <c r="I35" s="80" t="s">
        <v>24</v>
      </c>
      <c r="J35" s="81">
        <f>ABS(K34-2)/L34</f>
        <v>333.9522167</v>
      </c>
      <c r="K35" s="43"/>
      <c r="L35" s="44"/>
      <c r="M35" s="45">
        <f>ABS(K34-2)/M34</f>
        <v>103.4134688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" t="s">
        <v>0</v>
      </c>
      <c r="C39" s="4"/>
      <c r="D39" s="5" t="s">
        <v>1</v>
      </c>
      <c r="E39" s="6" t="s">
        <v>2</v>
      </c>
      <c r="F39" s="7" t="s">
        <v>3</v>
      </c>
      <c r="G39" s="6" t="s">
        <v>4</v>
      </c>
      <c r="H39" s="1"/>
      <c r="I39" s="8"/>
      <c r="J39" s="9" t="s">
        <v>5</v>
      </c>
      <c r="K39" s="10" t="s">
        <v>6</v>
      </c>
      <c r="L39" s="11" t="s"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2"/>
      <c r="C40" s="13"/>
      <c r="D40" s="14">
        <v>0.0</v>
      </c>
      <c r="E40" s="15">
        <v>90.0</v>
      </c>
      <c r="F40" s="16">
        <v>45.0</v>
      </c>
      <c r="G40" s="15">
        <v>135.0</v>
      </c>
      <c r="H40" s="1"/>
      <c r="I40" s="17" t="s">
        <v>10</v>
      </c>
      <c r="J40" s="8">
        <f>COS(2*(D40-C41)*PI()/180)</f>
        <v>0.7071067812</v>
      </c>
      <c r="K40" s="18">
        <f>(D41-D42-E41+E42)/(D41+D42+E41+E42)</f>
        <v>0.7242868543</v>
      </c>
      <c r="L40" s="19">
        <f>2*(D41+E42)*(D42+E41)/POW(D41+D42+E42+E41,2)*SQRT(1/(D41+E42)+1/(D42+E41))</f>
        <v>0.002727465588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2" t="s">
        <v>11</v>
      </c>
      <c r="C41" s="23">
        <v>22.5</v>
      </c>
      <c r="D41" s="24">
        <v>36470.0</v>
      </c>
      <c r="E41" s="25">
        <v>3380.0</v>
      </c>
      <c r="F41" s="24">
        <v>28939.0</v>
      </c>
      <c r="G41" s="25">
        <v>9315.0</v>
      </c>
      <c r="I41" s="26" t="s">
        <v>12</v>
      </c>
      <c r="J41" s="8">
        <f>COS(2*(F40-C41)*PI()/180)</f>
        <v>0.7071067812</v>
      </c>
      <c r="K41" s="18">
        <f>(F41-F42-G41+G42)/(F41+F42+G41+G42)</f>
        <v>0.6157697328</v>
      </c>
      <c r="L41" s="19">
        <f>2*(F41+G42)*(F42+G41)/POW(F41+G42+F42+G41,2)*SQRT(1/(F41+G42)+1/(F42+G41))</f>
        <v>0.003202819566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7" t="s">
        <v>13</v>
      </c>
      <c r="C42" s="28">
        <v>112.5</v>
      </c>
      <c r="D42" s="29">
        <v>5430.0</v>
      </c>
      <c r="E42" s="30">
        <v>18627.0</v>
      </c>
      <c r="F42" s="29">
        <v>2312.0</v>
      </c>
      <c r="G42" s="30">
        <v>19955.0</v>
      </c>
      <c r="I42" s="26" t="s">
        <v>14</v>
      </c>
      <c r="J42" s="8">
        <f>COS(2*(D40-C43)*PI()/180)</f>
        <v>-0.7071067812</v>
      </c>
      <c r="K42" s="18">
        <f>(D43-D44-E43+E44)/(D43+D44+E43+E44)</f>
        <v>-0.6722712647</v>
      </c>
      <c r="L42" s="19">
        <f>2*(D43+E44)*(D44+E43)/POW(D43+D44+E44+E43,2)*SQRT(1/(D43+E44)+1/(D44+E43))</f>
        <v>0.003007159037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1" t="s">
        <v>20</v>
      </c>
      <c r="C43" s="32">
        <v>67.5</v>
      </c>
      <c r="D43" s="24">
        <v>6513.0</v>
      </c>
      <c r="E43" s="25">
        <v>18717.0</v>
      </c>
      <c r="F43" s="24">
        <v>22194.0</v>
      </c>
      <c r="G43" s="25">
        <v>1775.0</v>
      </c>
      <c r="I43" s="33" t="s">
        <v>21</v>
      </c>
      <c r="J43" s="8">
        <f>COS(2*(F40-C43)*PI()/180)</f>
        <v>0.7071067812</v>
      </c>
      <c r="K43" s="18">
        <f>(F43-F44-G43+G44)/(F43+F44+G43+G44)</f>
        <v>0.6681224239</v>
      </c>
      <c r="L43" s="19">
        <f>2*(F43+G44)*(F44+G43)/POW(F43+G44+F44+G43,2)*SQRT(1/(F43+G44)+1/(F44+G43))</f>
        <v>0.003116078219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7" t="s">
        <v>22</v>
      </c>
      <c r="C44" s="28">
        <v>157.5</v>
      </c>
      <c r="D44" s="29">
        <v>31957.0</v>
      </c>
      <c r="E44" s="30">
        <v>3418.0</v>
      </c>
      <c r="F44" s="29">
        <v>7686.0</v>
      </c>
      <c r="G44" s="30">
        <v>25360.0</v>
      </c>
      <c r="I44" s="3" t="s">
        <v>23</v>
      </c>
      <c r="J44" s="37">
        <f t="shared" ref="J44:K44" si="10">J40+J41-J42+J43</f>
        <v>2.828427125</v>
      </c>
      <c r="K44" s="38">
        <f t="shared" si="10"/>
        <v>2.680450276</v>
      </c>
      <c r="L44" s="39">
        <f>SQRT(L40^2+L41^2+L42^2+L43^2)</f>
        <v>0.00603738939</v>
      </c>
      <c r="M44" s="1">
        <f>SQRT(L44^2+$T$7^2)</f>
        <v>0.04075630392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41" t="s">
        <v>24</v>
      </c>
      <c r="J45" s="42">
        <f>ABS(K44-2)/L44</f>
        <v>112.7060443</v>
      </c>
      <c r="K45" s="43"/>
      <c r="L45" s="44"/>
      <c r="M45" s="45">
        <f>ABS(K44-2)/M44</f>
        <v>16.69558351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" t="s">
        <v>25</v>
      </c>
      <c r="C47" s="4"/>
      <c r="D47" s="5" t="s">
        <v>1</v>
      </c>
      <c r="E47" s="6" t="s">
        <v>2</v>
      </c>
      <c r="F47" s="7" t="s">
        <v>3</v>
      </c>
      <c r="G47" s="6" t="s">
        <v>4</v>
      </c>
      <c r="H47" s="1"/>
      <c r="I47" s="8"/>
      <c r="J47" s="9" t="s">
        <v>5</v>
      </c>
      <c r="K47" s="10" t="s">
        <v>6</v>
      </c>
      <c r="L47" s="11" t="s">
        <v>7</v>
      </c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/>
      <c r="C48" s="13"/>
      <c r="D48" s="14">
        <v>0.0</v>
      </c>
      <c r="E48" s="15">
        <v>90.0</v>
      </c>
      <c r="F48" s="16">
        <v>45.0</v>
      </c>
      <c r="G48" s="15">
        <v>135.0</v>
      </c>
      <c r="H48" s="1"/>
      <c r="I48" s="17" t="s">
        <v>10</v>
      </c>
      <c r="J48" s="8">
        <f>COS(2*(D48+C49)*PI()/180)</f>
        <v>0.7071067812</v>
      </c>
      <c r="K48" s="18">
        <f>(D49-D50-E49+E50)/(D49+D50+E49+E50)</f>
        <v>0.6235433946</v>
      </c>
      <c r="L48" s="19">
        <f>2*(D49+E50)*(D50+E49)/POW(D49+D50+E50+E49,2)*SQRT(1/(D49+E50)+1/(D50+E49))</f>
        <v>0.003973901484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2" t="s">
        <v>11</v>
      </c>
      <c r="C49" s="23">
        <v>22.5</v>
      </c>
      <c r="D49" s="24">
        <v>20065.0</v>
      </c>
      <c r="E49" s="25">
        <v>2516.0</v>
      </c>
      <c r="F49" s="24">
        <v>4889.0</v>
      </c>
      <c r="G49" s="25">
        <v>13300.0</v>
      </c>
      <c r="I49" s="26" t="s">
        <v>12</v>
      </c>
      <c r="J49" s="8">
        <f>COS(2*(F48+C49)*PI()/180)</f>
        <v>-0.7071067812</v>
      </c>
      <c r="K49" s="18">
        <f>(F49-F50-G49+G50)/(F49+F50+G49+G50)</f>
        <v>-0.5312029849</v>
      </c>
      <c r="L49" s="19">
        <f>2*(F49+G50)*(F50+G49)/POW(F49+G50+F50+G49,2)*SQRT(1/(F49+G50)+1/(F50+G49))</f>
        <v>0.004647479627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7" t="s">
        <v>13</v>
      </c>
      <c r="C50" s="28">
        <v>112.5</v>
      </c>
      <c r="D50" s="29">
        <v>4769.0</v>
      </c>
      <c r="E50" s="30">
        <v>11353.0</v>
      </c>
      <c r="F50" s="29">
        <v>12144.0</v>
      </c>
      <c r="G50" s="30">
        <v>2901.0</v>
      </c>
      <c r="I50" s="26" t="s">
        <v>14</v>
      </c>
      <c r="J50" s="8">
        <f>COS(2*(D48+C51)*PI()/180)</f>
        <v>-0.7071067812</v>
      </c>
      <c r="K50" s="18">
        <f>(D51-D52-E51+E52)/(D51+D52+E51+E52)</f>
        <v>-0.7119026748</v>
      </c>
      <c r="L50" s="19">
        <f>2*(D51+E52)*(D52+E51)/POW(D51+D52+E52+E51,2)*SQRT(1/(D51+E52)+1/(D52+E51))</f>
        <v>0.003619461499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1" t="s">
        <v>20</v>
      </c>
      <c r="C51" s="32">
        <v>67.5</v>
      </c>
      <c r="D51" s="24">
        <v>3449.0</v>
      </c>
      <c r="E51" s="25">
        <v>11746.0</v>
      </c>
      <c r="F51" s="24">
        <v>3698.0</v>
      </c>
      <c r="G51" s="25">
        <v>10543.0</v>
      </c>
      <c r="I51" s="33" t="s">
        <v>21</v>
      </c>
      <c r="J51" s="8">
        <f>COS(2*(F48+C51)*PI()/180)</f>
        <v>-0.7071067812</v>
      </c>
      <c r="K51" s="18">
        <f>(F51-F52-G51+G52)/(F51+F52+G51+G52)</f>
        <v>-0.4282339043</v>
      </c>
      <c r="L51" s="19">
        <f>2*(F51+G52)*(F52+G51)/POW(F51+G52+F52+G51,2)*SQRT(1/(F51+G52)+1/(F52+G51))</f>
        <v>0.00503852699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7" t="s">
        <v>22</v>
      </c>
      <c r="C52" s="28">
        <v>157.5</v>
      </c>
      <c r="D52" s="29">
        <v>20478.0</v>
      </c>
      <c r="E52" s="30">
        <v>1974.0</v>
      </c>
      <c r="F52" s="29">
        <v>12428.0</v>
      </c>
      <c r="G52" s="30">
        <v>5498.0</v>
      </c>
      <c r="I52" s="3" t="s">
        <v>23</v>
      </c>
      <c r="J52" s="37">
        <f t="shared" ref="J52:K52" si="11">J48+J49-J50+J51</f>
        <v>0</v>
      </c>
      <c r="K52" s="38">
        <f t="shared" si="11"/>
        <v>0.3760091802</v>
      </c>
      <c r="L52" s="47">
        <f>SQRT(L48^2+L49^2+L50^2+L51^2)</f>
        <v>0.008710810276</v>
      </c>
      <c r="M52" s="1">
        <f>SQRT(L52^2+$T$7^2)</f>
        <v>0.04123717321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I53" s="41" t="s">
        <v>24</v>
      </c>
      <c r="J53" s="42">
        <f>ABS(K52-2)/L52</f>
        <v>186.433956</v>
      </c>
      <c r="K53" s="43"/>
      <c r="L53" s="44"/>
      <c r="M53" s="45">
        <f>ABS(K52-2)/M52</f>
        <v>39.38172026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29:C30"/>
    <mergeCell ref="B39:C40"/>
    <mergeCell ref="B47:C48"/>
    <mergeCell ref="J45:L45"/>
    <mergeCell ref="J53:L53"/>
    <mergeCell ref="B3:C4"/>
    <mergeCell ref="J9:L9"/>
    <mergeCell ref="B11:C12"/>
    <mergeCell ref="J17:L17"/>
    <mergeCell ref="B20:C21"/>
    <mergeCell ref="J26:L26"/>
    <mergeCell ref="J35:L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37.13"/>
    <col customWidth="1" min="4" max="4" width="12.0"/>
    <col customWidth="1" min="5" max="5" width="17.5"/>
    <col customWidth="1" min="6" max="6" width="37.5"/>
    <col customWidth="1" min="7" max="7" width="37.75"/>
    <col customWidth="1" min="10" max="10" width="11.88"/>
    <col customWidth="1" min="11" max="11" width="35.75"/>
    <col customWidth="1" min="12" max="12" width="37.25"/>
  </cols>
  <sheetData>
    <row r="2">
      <c r="B2" s="82" t="s">
        <v>29</v>
      </c>
      <c r="C2" s="83"/>
      <c r="D2" s="83"/>
      <c r="E2" s="84"/>
      <c r="H2" s="85" t="s">
        <v>30</v>
      </c>
      <c r="I2" s="83"/>
      <c r="J2" s="83"/>
      <c r="K2" s="84"/>
    </row>
    <row r="3">
      <c r="B3" s="86" t="s">
        <v>31</v>
      </c>
      <c r="C3" s="86" t="s">
        <v>32</v>
      </c>
      <c r="D3" s="86" t="s">
        <v>33</v>
      </c>
      <c r="E3" s="86" t="s">
        <v>34</v>
      </c>
      <c r="H3" s="86" t="s">
        <v>31</v>
      </c>
      <c r="I3" s="86" t="s">
        <v>32</v>
      </c>
      <c r="J3" s="86" t="s">
        <v>33</v>
      </c>
      <c r="K3" s="86" t="s">
        <v>34</v>
      </c>
    </row>
    <row r="4">
      <c r="B4" s="87" t="s">
        <v>35</v>
      </c>
      <c r="C4" s="87">
        <v>0.0</v>
      </c>
      <c r="D4" s="87">
        <v>0.0</v>
      </c>
      <c r="E4" s="87">
        <v>11022.0</v>
      </c>
      <c r="H4" s="87" t="s">
        <v>35</v>
      </c>
      <c r="I4" s="87">
        <v>0.0</v>
      </c>
      <c r="J4" s="87">
        <v>0.0</v>
      </c>
      <c r="K4" s="87">
        <v>3279.0</v>
      </c>
    </row>
    <row r="5">
      <c r="B5" s="87" t="s">
        <v>36</v>
      </c>
      <c r="C5" s="87">
        <v>0.0</v>
      </c>
      <c r="D5" s="87">
        <v>90.0</v>
      </c>
      <c r="E5" s="87">
        <v>5458.0</v>
      </c>
      <c r="H5" s="87" t="s">
        <v>36</v>
      </c>
      <c r="I5" s="87">
        <v>0.0</v>
      </c>
      <c r="J5" s="87">
        <v>90.0</v>
      </c>
      <c r="K5" s="87">
        <v>3120.0</v>
      </c>
    </row>
    <row r="6">
      <c r="B6" s="87" t="s">
        <v>37</v>
      </c>
      <c r="C6" s="87">
        <v>45.0</v>
      </c>
      <c r="D6" s="87">
        <v>45.0</v>
      </c>
      <c r="E6" s="87">
        <v>6179.0</v>
      </c>
      <c r="H6" s="87" t="s">
        <v>37</v>
      </c>
      <c r="I6" s="87">
        <v>45.0</v>
      </c>
      <c r="J6" s="87">
        <v>45.0</v>
      </c>
      <c r="K6" s="87">
        <v>4693.0</v>
      </c>
    </row>
    <row r="7">
      <c r="B7" s="87" t="s">
        <v>38</v>
      </c>
      <c r="C7" s="87">
        <v>45.0</v>
      </c>
      <c r="D7" s="87">
        <v>-45.0</v>
      </c>
      <c r="E7" s="87">
        <v>6816.0</v>
      </c>
      <c r="H7" s="87" t="s">
        <v>38</v>
      </c>
      <c r="I7" s="87">
        <v>45.0</v>
      </c>
      <c r="J7" s="87">
        <v>-45.0</v>
      </c>
      <c r="K7" s="87">
        <v>3921.0</v>
      </c>
    </row>
    <row r="8">
      <c r="B8" s="87" t="s">
        <v>39</v>
      </c>
      <c r="C8" s="87">
        <v>45.0</v>
      </c>
      <c r="D8" s="87">
        <v>90.0</v>
      </c>
      <c r="E8" s="87">
        <v>4511.0</v>
      </c>
      <c r="H8" s="87" t="s">
        <v>39</v>
      </c>
      <c r="I8" s="87">
        <v>45.0</v>
      </c>
      <c r="J8" s="87">
        <v>90.0</v>
      </c>
      <c r="K8" s="87">
        <v>4325.0</v>
      </c>
    </row>
    <row r="9">
      <c r="B9" s="88" t="s">
        <v>40</v>
      </c>
      <c r="C9" s="88">
        <v>45.0</v>
      </c>
      <c r="D9" s="88">
        <v>0.0</v>
      </c>
      <c r="E9" s="88">
        <v>7317.0</v>
      </c>
      <c r="H9" s="88" t="s">
        <v>40</v>
      </c>
      <c r="I9" s="88">
        <v>45.0</v>
      </c>
      <c r="J9" s="88">
        <v>0.0</v>
      </c>
      <c r="K9" s="88">
        <v>4433.0</v>
      </c>
    </row>
    <row r="11">
      <c r="B11" s="89" t="s">
        <v>41</v>
      </c>
      <c r="C11" s="90">
        <f>(E6-E7)/(E6+E7)</f>
        <v>-0.04901885341</v>
      </c>
      <c r="D11" s="91">
        <f>2*SQRT(E6*E7)/POW(E6+E7,1.5)/2</f>
        <v>0.004380860889</v>
      </c>
      <c r="E11" s="92" t="s">
        <v>42</v>
      </c>
      <c r="F11" s="93"/>
      <c r="H11" s="89" t="s">
        <v>41</v>
      </c>
      <c r="I11" s="90">
        <f>(K6-K7)/(K6+K7)</f>
        <v>0.08962154632</v>
      </c>
      <c r="J11" s="91">
        <f>2*SQRT(K6*K7)/POW(K6+K7,1.5)/2</f>
        <v>0.005365576573</v>
      </c>
      <c r="K11" s="92" t="s">
        <v>42</v>
      </c>
      <c r="L11" s="93"/>
    </row>
    <row r="12">
      <c r="B12" s="94" t="s">
        <v>43</v>
      </c>
      <c r="C12" s="95">
        <f>(E8-E9)/(E8+E9)</f>
        <v>-0.2372336828</v>
      </c>
      <c r="D12" s="91">
        <f>2*SQRT(E8*E9)/POW(E8+E9,1.5)/2</f>
        <v>0.004466177376</v>
      </c>
      <c r="E12" s="8">
        <f>0.5+C13/2</f>
        <v>0.6688106796</v>
      </c>
      <c r="F12" s="8" t="str">
        <f>COMPLEX(C11/2,-C12/2)</f>
        <v>-0.0245094267025779+0.118616841393304i</v>
      </c>
      <c r="H12" s="94" t="s">
        <v>43</v>
      </c>
      <c r="I12" s="95">
        <f>(K8-K9)/(K8+K9)</f>
        <v>-0.01233158255</v>
      </c>
      <c r="J12" s="91">
        <f>2*SQRT(K8*K9)/POW(K8+K9,1.5)/2</f>
        <v>0.005342376733</v>
      </c>
      <c r="K12" s="8">
        <f>0.5+I13/2</f>
        <v>0.5124238162</v>
      </c>
      <c r="L12" s="8" t="str">
        <f>COMPLEX(I11/2,-I12/2)</f>
        <v>0.0448107731599721+0.00616579127654716i</v>
      </c>
    </row>
    <row r="13">
      <c r="B13" s="96" t="s">
        <v>44</v>
      </c>
      <c r="C13" s="97">
        <f>(E4-E5)/(E4+E5)</f>
        <v>0.3376213592</v>
      </c>
      <c r="D13" s="91">
        <f>2*SQRT(E4*E5)/POW(E4+E5,1.5)/2</f>
        <v>0.003666157833</v>
      </c>
      <c r="E13" s="8" t="str">
        <f>COMPLEX(C11/2,C12/2)</f>
        <v>-0.0245094267025779-0.118616841393304i</v>
      </c>
      <c r="F13" s="8">
        <f>0.5-C13/2</f>
        <v>0.3311893204</v>
      </c>
      <c r="H13" s="96" t="s">
        <v>44</v>
      </c>
      <c r="I13" s="97">
        <f>(K4-K5)/(K4+K5)</f>
        <v>0.02484763244</v>
      </c>
      <c r="J13" s="91">
        <f>2*SQRT(K4*K5)/POW(K4+K5,1.5)/2</f>
        <v>0.0062485585</v>
      </c>
      <c r="K13" s="8" t="str">
        <f>COMPLEX(I11/2,I12/2)</f>
        <v>0.0448107731599721-0.00616579127654716i</v>
      </c>
      <c r="L13" s="8">
        <f>0.5-I13/2</f>
        <v>0.4875761838</v>
      </c>
    </row>
    <row r="15">
      <c r="B15" s="98" t="s">
        <v>45</v>
      </c>
      <c r="C15" s="99">
        <f>0.5*(1+C11^2+C12^2+C13^2)</f>
        <v>0.5863354252</v>
      </c>
      <c r="H15" s="98" t="s">
        <v>45</v>
      </c>
      <c r="I15" s="99">
        <f>0.5*(1+I11^2+I12^2+I13^2)</f>
        <v>0.5044007472</v>
      </c>
    </row>
    <row r="18">
      <c r="B18" s="82" t="s">
        <v>29</v>
      </c>
      <c r="C18" s="83"/>
      <c r="D18" s="83"/>
      <c r="E18" s="84"/>
      <c r="H18" s="85" t="s">
        <v>30</v>
      </c>
      <c r="I18" s="83"/>
      <c r="J18" s="83"/>
      <c r="K18" s="84"/>
    </row>
    <row r="19">
      <c r="B19" s="86" t="s">
        <v>31</v>
      </c>
      <c r="C19" s="86" t="s">
        <v>32</v>
      </c>
      <c r="D19" s="86" t="s">
        <v>33</v>
      </c>
      <c r="E19" s="86" t="s">
        <v>34</v>
      </c>
      <c r="H19" s="86" t="s">
        <v>31</v>
      </c>
      <c r="I19" s="86" t="s">
        <v>32</v>
      </c>
      <c r="J19" s="86" t="s">
        <v>33</v>
      </c>
      <c r="K19" s="86" t="s">
        <v>34</v>
      </c>
    </row>
    <row r="20">
      <c r="B20" s="87" t="s">
        <v>35</v>
      </c>
      <c r="C20" s="87">
        <v>0.0</v>
      </c>
      <c r="D20" s="87">
        <v>0.0</v>
      </c>
      <c r="E20" s="87">
        <v>9164.0</v>
      </c>
      <c r="H20" s="87" t="s">
        <v>35</v>
      </c>
      <c r="I20" s="87">
        <v>0.0</v>
      </c>
      <c r="J20" s="87">
        <v>0.0</v>
      </c>
      <c r="K20" s="87"/>
    </row>
    <row r="21">
      <c r="B21" s="87" t="s">
        <v>36</v>
      </c>
      <c r="C21" s="87">
        <v>0.0</v>
      </c>
      <c r="D21" s="87">
        <v>90.0</v>
      </c>
      <c r="E21" s="87">
        <v>9087.0</v>
      </c>
      <c r="H21" s="87" t="s">
        <v>36</v>
      </c>
      <c r="I21" s="87">
        <v>0.0</v>
      </c>
      <c r="J21" s="87">
        <v>90.0</v>
      </c>
      <c r="K21" s="87"/>
    </row>
    <row r="22">
      <c r="B22" s="87" t="s">
        <v>37</v>
      </c>
      <c r="C22" s="87">
        <v>45.0</v>
      </c>
      <c r="D22" s="87">
        <v>45.0</v>
      </c>
      <c r="E22" s="87">
        <v>9443.0</v>
      </c>
      <c r="H22" s="87" t="s">
        <v>37</v>
      </c>
      <c r="I22" s="87">
        <v>45.0</v>
      </c>
      <c r="J22" s="87">
        <v>45.0</v>
      </c>
      <c r="K22" s="87"/>
    </row>
    <row r="23">
      <c r="B23" s="87" t="s">
        <v>38</v>
      </c>
      <c r="C23" s="87">
        <v>45.0</v>
      </c>
      <c r="D23" s="87">
        <v>-45.0</v>
      </c>
      <c r="E23" s="87">
        <v>11127.0</v>
      </c>
      <c r="H23" s="87" t="s">
        <v>38</v>
      </c>
      <c r="I23" s="87">
        <v>45.0</v>
      </c>
      <c r="J23" s="87">
        <v>-45.0</v>
      </c>
      <c r="K23" s="87"/>
    </row>
    <row r="24">
      <c r="B24" s="87" t="s">
        <v>39</v>
      </c>
      <c r="C24" s="87">
        <v>45.0</v>
      </c>
      <c r="D24" s="87">
        <v>90.0</v>
      </c>
      <c r="E24" s="87">
        <v>8736.0</v>
      </c>
      <c r="H24" s="87" t="s">
        <v>39</v>
      </c>
      <c r="I24" s="87">
        <v>45.0</v>
      </c>
      <c r="J24" s="87">
        <v>90.0</v>
      </c>
      <c r="K24" s="87"/>
    </row>
    <row r="25">
      <c r="B25" s="88" t="s">
        <v>40</v>
      </c>
      <c r="C25" s="88">
        <v>45.0</v>
      </c>
      <c r="D25" s="88">
        <v>0.0</v>
      </c>
      <c r="E25" s="88">
        <v>1025.0</v>
      </c>
      <c r="H25" s="88" t="s">
        <v>40</v>
      </c>
      <c r="I25" s="88">
        <v>45.0</v>
      </c>
      <c r="J25" s="88">
        <v>0.0</v>
      </c>
      <c r="K25" s="88"/>
    </row>
    <row r="27">
      <c r="B27" s="89" t="s">
        <v>41</v>
      </c>
      <c r="C27" s="90">
        <f>(E22-E23)/(E22+E23)</f>
        <v>-0.08186679631</v>
      </c>
      <c r="E27" s="92" t="s">
        <v>42</v>
      </c>
      <c r="F27" s="93"/>
      <c r="H27" s="89" t="s">
        <v>41</v>
      </c>
      <c r="I27" s="90" t="str">
        <f>(K22-K23)/(K22+K23)</f>
        <v>#DIV/0!</v>
      </c>
      <c r="K27" s="92" t="s">
        <v>42</v>
      </c>
      <c r="L27" s="93"/>
    </row>
    <row r="28">
      <c r="B28" s="94" t="s">
        <v>43</v>
      </c>
      <c r="C28" s="95">
        <f>(E24-E25)/(E24+E25)</f>
        <v>0.7899805348</v>
      </c>
      <c r="E28" s="8">
        <f>0.5+C29/2</f>
        <v>0.5021094735</v>
      </c>
      <c r="F28" s="8" t="str">
        <f>COMPLEX(C27/2,-C28/2)</f>
        <v>-0.0409333981526495-0.394990267390636i</v>
      </c>
      <c r="H28" s="94" t="s">
        <v>43</v>
      </c>
      <c r="I28" s="95" t="str">
        <f>(K24-K25)/(K24+K25)</f>
        <v>#DIV/0!</v>
      </c>
      <c r="K28" s="8" t="str">
        <f>0.5+I29/2</f>
        <v>#DIV/0!</v>
      </c>
      <c r="L28" s="8" t="str">
        <f>COMPLEX(I27/2,-I28/2)</f>
        <v>#DIV/0!</v>
      </c>
    </row>
    <row r="29">
      <c r="B29" s="96" t="s">
        <v>44</v>
      </c>
      <c r="C29" s="97">
        <f>(E20-E21)/(E20+E21)</f>
        <v>0.004218946907</v>
      </c>
      <c r="E29" s="8" t="str">
        <f>COMPLEX(C27/2,C28/2)</f>
        <v>-0.0409333981526495+0.394990267390636i</v>
      </c>
      <c r="F29" s="8">
        <f>0.5-C29/2</f>
        <v>0.4978905265</v>
      </c>
      <c r="H29" s="96" t="s">
        <v>44</v>
      </c>
      <c r="I29" s="97" t="str">
        <f>(K20-K21)/(K20+K21)</f>
        <v>#DIV/0!</v>
      </c>
      <c r="K29" s="8" t="str">
        <f>COMPLEX(I27/2,I28/2)</f>
        <v>#DIV/0!</v>
      </c>
      <c r="L29" s="8" t="str">
        <f>0.5-I29/2</f>
        <v>#DIV/0!</v>
      </c>
    </row>
    <row r="31">
      <c r="B31" s="98" t="s">
        <v>45</v>
      </c>
      <c r="C31" s="99">
        <f>0.5*(1+C27^2+C28^2+C29^2)</f>
        <v>0.8153946086</v>
      </c>
      <c r="H31" s="98" t="s">
        <v>45</v>
      </c>
      <c r="I31" s="99" t="str">
        <f>0.5*(1+I27^2+I28^2+I29^2)</f>
        <v>#DIV/0!</v>
      </c>
    </row>
    <row r="34">
      <c r="B34" s="82" t="s">
        <v>29</v>
      </c>
      <c r="C34" s="83"/>
      <c r="D34" s="83"/>
      <c r="E34" s="84"/>
    </row>
    <row r="35">
      <c r="B35" s="86" t="s">
        <v>31</v>
      </c>
      <c r="C35" s="86" t="s">
        <v>32</v>
      </c>
      <c r="D35" s="86" t="s">
        <v>33</v>
      </c>
      <c r="E35" s="86" t="s">
        <v>34</v>
      </c>
    </row>
    <row r="36">
      <c r="B36" s="87" t="s">
        <v>35</v>
      </c>
      <c r="C36" s="87">
        <v>0.0</v>
      </c>
      <c r="D36" s="87">
        <v>0.0</v>
      </c>
      <c r="E36" s="87">
        <v>9164.0</v>
      </c>
    </row>
    <row r="37">
      <c r="B37" s="87" t="s">
        <v>36</v>
      </c>
      <c r="C37" s="87">
        <v>0.0</v>
      </c>
      <c r="D37" s="87">
        <v>90.0</v>
      </c>
      <c r="E37" s="87">
        <v>9087.0</v>
      </c>
    </row>
    <row r="38">
      <c r="B38" s="87" t="s">
        <v>37</v>
      </c>
      <c r="C38" s="87">
        <v>45.0</v>
      </c>
      <c r="D38" s="87">
        <v>45.0</v>
      </c>
      <c r="E38" s="87">
        <v>9443.0</v>
      </c>
    </row>
    <row r="39">
      <c r="B39" s="87" t="s">
        <v>38</v>
      </c>
      <c r="C39" s="87">
        <v>45.0</v>
      </c>
      <c r="D39" s="87">
        <v>-45.0</v>
      </c>
      <c r="E39" s="87">
        <v>11127.0</v>
      </c>
    </row>
    <row r="40">
      <c r="B40" s="87" t="s">
        <v>39</v>
      </c>
      <c r="C40" s="87">
        <v>45.0</v>
      </c>
      <c r="D40" s="87">
        <v>90.0</v>
      </c>
      <c r="E40" s="87">
        <v>8736.0</v>
      </c>
    </row>
    <row r="41">
      <c r="B41" s="88" t="s">
        <v>40</v>
      </c>
      <c r="C41" s="88">
        <v>45.0</v>
      </c>
      <c r="D41" s="88">
        <v>0.0</v>
      </c>
      <c r="E41" s="88">
        <v>1025.0</v>
      </c>
    </row>
    <row r="43">
      <c r="B43" s="89" t="s">
        <v>41</v>
      </c>
      <c r="C43" s="90">
        <f>(E38-E39)/(E38+E39)</f>
        <v>-0.08186679631</v>
      </c>
      <c r="E43" s="92" t="s">
        <v>42</v>
      </c>
      <c r="F43" s="93"/>
    </row>
    <row r="44">
      <c r="B44" s="94" t="s">
        <v>43</v>
      </c>
      <c r="C44" s="95">
        <f>(E40-E41)/(E40+E41)</f>
        <v>0.7899805348</v>
      </c>
      <c r="E44" s="8">
        <f>0.5+C45/2</f>
        <v>0.5021094735</v>
      </c>
      <c r="F44" s="8" t="str">
        <f>COMPLEX(C43/2,-C44/2)</f>
        <v>-0.0409333981526495-0.394990267390636i</v>
      </c>
    </row>
    <row r="45">
      <c r="B45" s="96" t="s">
        <v>44</v>
      </c>
      <c r="C45" s="97">
        <f>(E36-E37)/(E36+E37)</f>
        <v>0.004218946907</v>
      </c>
      <c r="E45" s="8" t="str">
        <f>COMPLEX(C43/2,C44/2)</f>
        <v>-0.0409333981526495+0.394990267390636i</v>
      </c>
      <c r="F45" s="8">
        <f>0.5-C45/2</f>
        <v>0.4978905265</v>
      </c>
    </row>
    <row r="47">
      <c r="B47" s="98" t="s">
        <v>45</v>
      </c>
      <c r="C47" s="99">
        <f>0.5*(1+C43^2+C44^2+C45^2)</f>
        <v>0.8153946086</v>
      </c>
    </row>
    <row r="50">
      <c r="B50" s="100" t="s">
        <v>46</v>
      </c>
      <c r="C50" s="101"/>
      <c r="D50" s="101"/>
      <c r="E50" s="101"/>
      <c r="F50" s="101"/>
      <c r="G50" s="101"/>
      <c r="H50" s="101"/>
      <c r="I50" s="93"/>
    </row>
    <row r="51">
      <c r="B51" s="102" t="s">
        <v>29</v>
      </c>
      <c r="C51" s="103"/>
      <c r="D51" s="103"/>
      <c r="E51" s="104"/>
      <c r="F51" s="105" t="s">
        <v>30</v>
      </c>
      <c r="G51" s="103"/>
      <c r="H51" s="103"/>
      <c r="I51" s="104"/>
    </row>
    <row r="52">
      <c r="B52" s="86" t="s">
        <v>31</v>
      </c>
      <c r="C52" s="86" t="s">
        <v>32</v>
      </c>
      <c r="D52" s="86" t="s">
        <v>33</v>
      </c>
      <c r="E52" s="86" t="s">
        <v>34</v>
      </c>
      <c r="F52" s="86" t="s">
        <v>31</v>
      </c>
      <c r="G52" s="86" t="s">
        <v>32</v>
      </c>
      <c r="H52" s="86" t="s">
        <v>33</v>
      </c>
      <c r="I52" s="86" t="s">
        <v>34</v>
      </c>
    </row>
    <row r="53">
      <c r="B53" s="87" t="s">
        <v>35</v>
      </c>
      <c r="C53" s="87">
        <v>0.0</v>
      </c>
      <c r="D53" s="87">
        <v>0.0</v>
      </c>
      <c r="E53" s="87">
        <v>11022.0</v>
      </c>
      <c r="F53" s="87" t="s">
        <v>35</v>
      </c>
      <c r="G53" s="87">
        <v>0.0</v>
      </c>
      <c r="H53" s="87">
        <v>0.0</v>
      </c>
      <c r="I53" s="87">
        <v>3279.0</v>
      </c>
    </row>
    <row r="54">
      <c r="B54" s="87" t="s">
        <v>36</v>
      </c>
      <c r="C54" s="87">
        <v>0.0</v>
      </c>
      <c r="D54" s="87">
        <v>90.0</v>
      </c>
      <c r="E54" s="87">
        <v>5458.0</v>
      </c>
      <c r="F54" s="87" t="s">
        <v>36</v>
      </c>
      <c r="G54" s="87">
        <v>0.0</v>
      </c>
      <c r="H54" s="87">
        <v>90.0</v>
      </c>
      <c r="I54" s="87">
        <v>3120.0</v>
      </c>
    </row>
    <row r="55">
      <c r="B55" s="87" t="s">
        <v>37</v>
      </c>
      <c r="C55" s="87">
        <v>45.0</v>
      </c>
      <c r="D55" s="87">
        <v>45.0</v>
      </c>
      <c r="E55" s="87">
        <v>6179.0</v>
      </c>
      <c r="F55" s="87" t="s">
        <v>37</v>
      </c>
      <c r="G55" s="87">
        <v>45.0</v>
      </c>
      <c r="H55" s="87">
        <v>45.0</v>
      </c>
      <c r="I55" s="87">
        <v>4693.0</v>
      </c>
    </row>
    <row r="56">
      <c r="B56" s="87" t="s">
        <v>38</v>
      </c>
      <c r="C56" s="87">
        <v>45.0</v>
      </c>
      <c r="D56" s="87">
        <v>-45.0</v>
      </c>
      <c r="E56" s="87">
        <v>6816.0</v>
      </c>
      <c r="F56" s="87" t="s">
        <v>38</v>
      </c>
      <c r="G56" s="87">
        <v>45.0</v>
      </c>
      <c r="H56" s="87">
        <v>-45.0</v>
      </c>
      <c r="I56" s="87">
        <v>3921.0</v>
      </c>
    </row>
    <row r="57">
      <c r="B57" s="87" t="s">
        <v>39</v>
      </c>
      <c r="C57" s="87">
        <v>45.0</v>
      </c>
      <c r="D57" s="87">
        <v>90.0</v>
      </c>
      <c r="E57" s="87">
        <v>4511.0</v>
      </c>
      <c r="F57" s="87" t="s">
        <v>39</v>
      </c>
      <c r="G57" s="87">
        <v>45.0</v>
      </c>
      <c r="H57" s="87">
        <v>90.0</v>
      </c>
      <c r="I57" s="87">
        <v>4325.0</v>
      </c>
    </row>
    <row r="58">
      <c r="B58" s="88" t="s">
        <v>40</v>
      </c>
      <c r="C58" s="88">
        <v>45.0</v>
      </c>
      <c r="D58" s="88">
        <v>0.0</v>
      </c>
      <c r="E58" s="88">
        <v>7317.0</v>
      </c>
      <c r="F58" s="88" t="s">
        <v>40</v>
      </c>
      <c r="G58" s="88">
        <v>45.0</v>
      </c>
      <c r="H58" s="88">
        <v>0.0</v>
      </c>
      <c r="I58" s="88">
        <v>4433.0</v>
      </c>
    </row>
    <row r="60">
      <c r="B60" s="89" t="s">
        <v>41</v>
      </c>
      <c r="C60" s="90">
        <f>(E55-E56)/(E55+E56)</f>
        <v>-0.04901885341</v>
      </c>
      <c r="F60" s="89" t="s">
        <v>41</v>
      </c>
      <c r="G60" s="90">
        <f>(I55-I56)/(I55+I56)</f>
        <v>0.08962154632</v>
      </c>
    </row>
    <row r="61">
      <c r="B61" s="94" t="s">
        <v>43</v>
      </c>
      <c r="C61" s="95">
        <f>(E57-E58)/(E57+E58)</f>
        <v>-0.2372336828</v>
      </c>
      <c r="F61" s="94" t="s">
        <v>43</v>
      </c>
      <c r="G61" s="95">
        <f>(I57-I58)/(I57+I58)</f>
        <v>-0.01233158255</v>
      </c>
    </row>
    <row r="62">
      <c r="B62" s="96" t="s">
        <v>44</v>
      </c>
      <c r="C62" s="97">
        <f>(E53-E54)/(E53+E54)</f>
        <v>0.3376213592</v>
      </c>
      <c r="F62" s="96" t="s">
        <v>44</v>
      </c>
      <c r="G62" s="97">
        <f>(I53-I54)/(I53+I54)</f>
        <v>0.02484763244</v>
      </c>
    </row>
    <row r="64">
      <c r="B64" s="98" t="s">
        <v>45</v>
      </c>
      <c r="C64" s="99">
        <f>0.5*(1+C60^2+C61^2+C62^2)</f>
        <v>0.5863354252</v>
      </c>
      <c r="F64" s="98" t="s">
        <v>45</v>
      </c>
      <c r="G64" s="99">
        <f>0.5*(1+G60^2+G61^2+G62^2)</f>
        <v>0.5044007472</v>
      </c>
    </row>
    <row r="66">
      <c r="B66" s="92" t="s">
        <v>42</v>
      </c>
      <c r="C66" s="93"/>
      <c r="F66" s="92" t="s">
        <v>42</v>
      </c>
      <c r="G66" s="93"/>
    </row>
    <row r="67">
      <c r="B67" s="8">
        <f>0.5+C62/2</f>
        <v>0.6688106796</v>
      </c>
      <c r="C67" s="8" t="str">
        <f>COMPLEX(C60/2,-C61/2)</f>
        <v>-0.0245094267025779+0.118616841393304i</v>
      </c>
      <c r="F67" s="8">
        <f>0.5+G62/2</f>
        <v>0.5124238162</v>
      </c>
      <c r="G67" s="8" t="str">
        <f>COMPLEX(G60/2,-G61/2)</f>
        <v>0.0448107731599721+0.00616579127654716i</v>
      </c>
    </row>
    <row r="68">
      <c r="B68" s="8" t="str">
        <f>COMPLEX(C60/2,C61/2)</f>
        <v>-0.0245094267025779-0.118616841393304i</v>
      </c>
      <c r="C68" s="8">
        <f>0.5-C62/2</f>
        <v>0.3311893204</v>
      </c>
      <c r="F68" s="8" t="str">
        <f>COMPLEX(G60/2,G61/2)</f>
        <v>0.0448107731599721-0.00616579127654716i</v>
      </c>
      <c r="G68" s="8">
        <f>0.5-G62/2</f>
        <v>0.4875761838</v>
      </c>
    </row>
    <row r="72">
      <c r="B72" s="106" t="s">
        <v>47</v>
      </c>
      <c r="C72" s="101"/>
      <c r="D72" s="101"/>
      <c r="E72" s="101"/>
      <c r="F72" s="101"/>
      <c r="G72" s="101"/>
      <c r="H72" s="101"/>
      <c r="I72" s="93"/>
    </row>
    <row r="73">
      <c r="B73" s="102" t="s">
        <v>29</v>
      </c>
      <c r="C73" s="103"/>
      <c r="D73" s="103"/>
      <c r="E73" s="104"/>
      <c r="F73" s="105" t="s">
        <v>30</v>
      </c>
      <c r="G73" s="103"/>
      <c r="H73" s="103"/>
      <c r="I73" s="104"/>
    </row>
    <row r="74">
      <c r="B74" s="86" t="s">
        <v>31</v>
      </c>
      <c r="C74" s="86" t="s">
        <v>32</v>
      </c>
      <c r="D74" s="86" t="s">
        <v>33</v>
      </c>
      <c r="E74" s="86" t="s">
        <v>34</v>
      </c>
      <c r="F74" s="86" t="s">
        <v>31</v>
      </c>
      <c r="G74" s="86" t="s">
        <v>32</v>
      </c>
      <c r="H74" s="86" t="s">
        <v>33</v>
      </c>
      <c r="I74" s="86" t="s">
        <v>34</v>
      </c>
    </row>
    <row r="75">
      <c r="B75" s="87" t="s">
        <v>35</v>
      </c>
      <c r="C75" s="87">
        <v>0.0</v>
      </c>
      <c r="D75" s="87">
        <v>0.0</v>
      </c>
      <c r="E75" s="87">
        <v>5994.0</v>
      </c>
      <c r="F75" s="87" t="s">
        <v>35</v>
      </c>
      <c r="G75" s="87">
        <v>0.0</v>
      </c>
      <c r="H75" s="87">
        <v>0.0</v>
      </c>
      <c r="I75" s="87">
        <v>7373.0</v>
      </c>
    </row>
    <row r="76">
      <c r="B76" s="87" t="s">
        <v>36</v>
      </c>
      <c r="C76" s="87">
        <v>0.0</v>
      </c>
      <c r="D76" s="87">
        <v>90.0</v>
      </c>
      <c r="E76" s="87">
        <v>3991.0</v>
      </c>
      <c r="F76" s="87" t="s">
        <v>36</v>
      </c>
      <c r="G76" s="87">
        <v>0.0</v>
      </c>
      <c r="H76" s="87">
        <v>90.0</v>
      </c>
      <c r="I76" s="87">
        <v>3832.0</v>
      </c>
    </row>
    <row r="77">
      <c r="B77" s="87" t="s">
        <v>37</v>
      </c>
      <c r="C77" s="87">
        <v>45.0</v>
      </c>
      <c r="D77" s="87">
        <v>45.0</v>
      </c>
      <c r="E77" s="87">
        <v>12932.0</v>
      </c>
      <c r="F77" s="87" t="s">
        <v>37</v>
      </c>
      <c r="G77" s="87">
        <v>45.0</v>
      </c>
      <c r="H77" s="87">
        <v>45.0</v>
      </c>
      <c r="I77" s="87">
        <v>6611.0</v>
      </c>
    </row>
    <row r="78">
      <c r="B78" s="87" t="s">
        <v>38</v>
      </c>
      <c r="C78" s="87">
        <v>45.0</v>
      </c>
      <c r="D78" s="87">
        <v>-45.0</v>
      </c>
      <c r="E78" s="87">
        <v>7537.0</v>
      </c>
      <c r="F78" s="87" t="s">
        <v>38</v>
      </c>
      <c r="G78" s="87">
        <v>45.0</v>
      </c>
      <c r="H78" s="87">
        <v>-45.0</v>
      </c>
      <c r="I78" s="87">
        <v>4258.0</v>
      </c>
    </row>
    <row r="79">
      <c r="B79" s="87" t="s">
        <v>39</v>
      </c>
      <c r="C79" s="87">
        <v>45.0</v>
      </c>
      <c r="D79" s="87">
        <v>90.0</v>
      </c>
      <c r="E79" s="87">
        <v>9198.0</v>
      </c>
      <c r="F79" s="87" t="s">
        <v>39</v>
      </c>
      <c r="G79" s="87">
        <v>45.0</v>
      </c>
      <c r="H79" s="87">
        <v>90.0</v>
      </c>
      <c r="I79" s="87">
        <v>5360.0</v>
      </c>
    </row>
    <row r="80">
      <c r="B80" s="88" t="s">
        <v>40</v>
      </c>
      <c r="C80" s="88">
        <v>45.0</v>
      </c>
      <c r="D80" s="88">
        <v>0.0</v>
      </c>
      <c r="E80" s="88">
        <v>17000.0</v>
      </c>
      <c r="F80" s="88" t="s">
        <v>40</v>
      </c>
      <c r="G80" s="88">
        <v>45.0</v>
      </c>
      <c r="H80" s="88">
        <v>0.0</v>
      </c>
      <c r="I80" s="88">
        <v>7561.0</v>
      </c>
    </row>
    <row r="82">
      <c r="B82" s="89" t="s">
        <v>41</v>
      </c>
      <c r="C82" s="90">
        <f>(E77-E78)/(E77+E78)</f>
        <v>0.2635692999</v>
      </c>
      <c r="D82" s="91">
        <f>2*SQRT(E77*E78)/POW(E77+E78,1.5)/2</f>
        <v>0.003371220558</v>
      </c>
      <c r="F82" s="89" t="s">
        <v>41</v>
      </c>
      <c r="G82" s="90">
        <f>(I77-I78)/(I77+I78)</f>
        <v>0.2164872573</v>
      </c>
      <c r="H82" s="91">
        <f>2*SQRT(I77*I78)/POW(I77+I78,1.5)/2</f>
        <v>0.004682222246</v>
      </c>
    </row>
    <row r="83">
      <c r="B83" s="94" t="s">
        <v>43</v>
      </c>
      <c r="C83" s="95">
        <f>(E79-E80)/(E79+E80)</f>
        <v>-0.2978089931</v>
      </c>
      <c r="D83" s="91">
        <f>2*SQRT(E79*E80)/POW(E79+E80,1.5)/2</f>
        <v>0.002948960508</v>
      </c>
      <c r="F83" s="94" t="s">
        <v>43</v>
      </c>
      <c r="G83" s="95">
        <f>(I79-I80)/(I79+I80)</f>
        <v>-0.1703428527</v>
      </c>
      <c r="H83" s="91">
        <f>2*SQRT(I79*I80)/POW(I79+I80,1.5)/2</f>
        <v>0.004334388388</v>
      </c>
    </row>
    <row r="84">
      <c r="B84" s="96" t="s">
        <v>44</v>
      </c>
      <c r="C84" s="97">
        <f>(E75-E76)/(E75+E76)</f>
        <v>0.2006009014</v>
      </c>
      <c r="D84" s="91">
        <f>2*SQRT(E75*E76)/POW(E75+E76,1.5)/2</f>
        <v>0.004902043145</v>
      </c>
      <c r="F84" s="96" t="s">
        <v>44</v>
      </c>
      <c r="G84" s="97">
        <f>(I75-I76)/(I75+I76)</f>
        <v>0.3160196341</v>
      </c>
      <c r="H84" s="91">
        <f>2*SQRT(I75*I76)/POW(I75+I76,1.5)/2</f>
        <v>0.004481434733</v>
      </c>
    </row>
    <row r="86">
      <c r="B86" s="98" t="s">
        <v>45</v>
      </c>
      <c r="C86" s="99">
        <f>0.5*(1+C82^2+C83^2+C84^2)</f>
        <v>0.5991998469</v>
      </c>
      <c r="F86" s="98" t="s">
        <v>45</v>
      </c>
      <c r="G86" s="99">
        <f>0.5*(1+G82^2+G83^2+G84^2)</f>
        <v>0.5878759146</v>
      </c>
    </row>
    <row r="88">
      <c r="B88" s="92" t="s">
        <v>42</v>
      </c>
      <c r="C88" s="93"/>
      <c r="F88" s="92" t="s">
        <v>42</v>
      </c>
      <c r="G88" s="93"/>
    </row>
    <row r="89">
      <c r="B89" s="8">
        <f>0.5+C84/2</f>
        <v>0.6003004507</v>
      </c>
      <c r="C89" s="8" t="str">
        <f>COMPLEX(C82/2,-C83/2)</f>
        <v>0.131784649958474+0.148904496526452i</v>
      </c>
      <c r="F89" s="8">
        <f>0.5+G84/2</f>
        <v>0.658009817</v>
      </c>
      <c r="G89" s="8" t="str">
        <f>COMPLEX(G82/2,-G83/2)</f>
        <v>0.108243628668691+0.0851714263601889i</v>
      </c>
    </row>
    <row r="90">
      <c r="B90" s="8" t="str">
        <f>COMPLEX(C82/2,C83/2)</f>
        <v>0.131784649958474-0.148904496526452i</v>
      </c>
      <c r="C90" s="8">
        <f>0.5-C84/2</f>
        <v>0.3996995493</v>
      </c>
      <c r="F90" s="8" t="str">
        <f>COMPLEX(G82/2,G83/2)</f>
        <v>0.108243628668691-0.0851714263601889i</v>
      </c>
      <c r="G90" s="8">
        <f>0.5-G84/2</f>
        <v>0.341990183</v>
      </c>
    </row>
  </sheetData>
  <mergeCells count="20">
    <mergeCell ref="B2:E2"/>
    <mergeCell ref="H2:K2"/>
    <mergeCell ref="E11:F11"/>
    <mergeCell ref="K11:L11"/>
    <mergeCell ref="B18:E18"/>
    <mergeCell ref="H18:K18"/>
    <mergeCell ref="K27:L27"/>
    <mergeCell ref="F66:G66"/>
    <mergeCell ref="B72:I72"/>
    <mergeCell ref="B73:E73"/>
    <mergeCell ref="F73:I73"/>
    <mergeCell ref="B88:C88"/>
    <mergeCell ref="F88:G88"/>
    <mergeCell ref="E27:F27"/>
    <mergeCell ref="B34:E34"/>
    <mergeCell ref="E43:F43"/>
    <mergeCell ref="B50:I50"/>
    <mergeCell ref="B51:E51"/>
    <mergeCell ref="F51:I51"/>
    <mergeCell ref="B66:C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07" t="s">
        <v>46</v>
      </c>
      <c r="B2" s="108" t="s">
        <v>48</v>
      </c>
      <c r="C2" s="4"/>
      <c r="D2" s="109" t="s">
        <v>49</v>
      </c>
      <c r="E2" s="93"/>
      <c r="F2" s="110" t="s">
        <v>50</v>
      </c>
      <c r="G2" s="93"/>
      <c r="H2" s="111" t="s">
        <v>51</v>
      </c>
      <c r="I2" s="93"/>
      <c r="L2" s="112" t="s">
        <v>31</v>
      </c>
      <c r="M2" s="112" t="s">
        <v>32</v>
      </c>
      <c r="N2" s="112" t="s">
        <v>33</v>
      </c>
      <c r="Q2" s="48"/>
      <c r="R2" s="48"/>
      <c r="S2" s="48"/>
      <c r="T2" s="48"/>
      <c r="U2" s="48"/>
      <c r="V2" s="48"/>
      <c r="W2" s="48"/>
      <c r="X2" s="48"/>
    </row>
    <row r="3">
      <c r="B3" s="12"/>
      <c r="C3" s="13"/>
      <c r="D3" s="112" t="s">
        <v>35</v>
      </c>
      <c r="E3" s="112" t="s">
        <v>36</v>
      </c>
      <c r="F3" s="112" t="s">
        <v>37</v>
      </c>
      <c r="G3" s="112" t="s">
        <v>38</v>
      </c>
      <c r="H3" s="112" t="s">
        <v>39</v>
      </c>
      <c r="I3" s="112" t="s">
        <v>40</v>
      </c>
      <c r="L3" s="87" t="s">
        <v>35</v>
      </c>
      <c r="M3" s="87">
        <v>0.0</v>
      </c>
      <c r="N3" s="87">
        <v>0.0</v>
      </c>
      <c r="Q3" s="48"/>
      <c r="R3" s="48"/>
      <c r="S3" s="48"/>
      <c r="T3" s="48"/>
      <c r="U3" s="48"/>
      <c r="V3" s="48"/>
      <c r="W3" s="48"/>
      <c r="X3" s="48"/>
    </row>
    <row r="4">
      <c r="B4" s="113" t="s">
        <v>49</v>
      </c>
      <c r="C4" s="112" t="s">
        <v>35</v>
      </c>
      <c r="D4" s="114">
        <v>9898.0</v>
      </c>
      <c r="E4" s="114">
        <v>292.0</v>
      </c>
      <c r="F4" s="114">
        <v>4798.0</v>
      </c>
      <c r="G4" s="114">
        <v>4822.0</v>
      </c>
      <c r="H4" s="114">
        <v>4444.0</v>
      </c>
      <c r="I4" s="114">
        <v>5168.0</v>
      </c>
      <c r="L4" s="87" t="s">
        <v>36</v>
      </c>
      <c r="M4" s="87">
        <v>0.0</v>
      </c>
      <c r="N4" s="87">
        <v>90.0</v>
      </c>
      <c r="Q4" s="48"/>
      <c r="R4" s="48"/>
      <c r="S4" s="48"/>
      <c r="T4" s="48"/>
      <c r="U4" s="48"/>
      <c r="V4" s="48"/>
      <c r="W4" s="48"/>
      <c r="X4" s="48"/>
    </row>
    <row r="5">
      <c r="B5" s="115"/>
      <c r="C5" s="112" t="s">
        <v>36</v>
      </c>
      <c r="D5" s="114">
        <v>369.0</v>
      </c>
      <c r="E5" s="114">
        <v>14263.0</v>
      </c>
      <c r="F5" s="114">
        <v>8580.0</v>
      </c>
      <c r="G5" s="114">
        <v>6928.0</v>
      </c>
      <c r="H5" s="114">
        <v>8534.0</v>
      </c>
      <c r="I5" s="114">
        <v>6891.0</v>
      </c>
      <c r="L5" s="87" t="s">
        <v>37</v>
      </c>
      <c r="M5" s="87">
        <v>45.0</v>
      </c>
      <c r="N5" s="87">
        <v>45.0</v>
      </c>
      <c r="Q5" s="48"/>
      <c r="R5" s="48"/>
      <c r="S5" s="48"/>
      <c r="T5" s="48"/>
      <c r="U5" s="48"/>
      <c r="V5" s="48"/>
      <c r="W5" s="48"/>
      <c r="X5" s="48"/>
    </row>
    <row r="6">
      <c r="B6" s="116" t="s">
        <v>50</v>
      </c>
      <c r="C6" s="112" t="s">
        <v>37</v>
      </c>
      <c r="D6" s="114">
        <v>9017.0</v>
      </c>
      <c r="E6" s="114">
        <v>11087.0</v>
      </c>
      <c r="F6" s="114">
        <v>12128.0</v>
      </c>
      <c r="G6" s="114">
        <v>9370.0</v>
      </c>
      <c r="H6" s="114">
        <v>583.0</v>
      </c>
      <c r="I6" s="114">
        <v>20663.0</v>
      </c>
      <c r="L6" s="87" t="s">
        <v>38</v>
      </c>
      <c r="M6" s="87">
        <v>45.0</v>
      </c>
      <c r="N6" s="87">
        <v>-45.0</v>
      </c>
      <c r="Q6" s="48"/>
      <c r="R6" s="48"/>
      <c r="S6" s="48"/>
      <c r="T6" s="48"/>
      <c r="U6" s="48"/>
      <c r="V6" s="48"/>
      <c r="W6" s="48"/>
      <c r="X6" s="48"/>
    </row>
    <row r="7">
      <c r="B7" s="115"/>
      <c r="C7" s="112" t="s">
        <v>38</v>
      </c>
      <c r="D7" s="114">
        <v>12570.0</v>
      </c>
      <c r="E7" s="114">
        <v>8827.0</v>
      </c>
      <c r="F7" s="114">
        <v>11157.0</v>
      </c>
      <c r="G7" s="114">
        <v>12154.0</v>
      </c>
      <c r="H7" s="114">
        <v>22938.0</v>
      </c>
      <c r="I7" s="114">
        <v>725.0</v>
      </c>
      <c r="L7" s="87" t="s">
        <v>39</v>
      </c>
      <c r="M7" s="87">
        <v>45.0</v>
      </c>
      <c r="N7" s="87">
        <v>90.0</v>
      </c>
      <c r="Q7" s="48"/>
      <c r="R7" s="48"/>
      <c r="S7" s="48"/>
      <c r="T7" s="48"/>
      <c r="U7" s="48"/>
      <c r="V7" s="48"/>
      <c r="W7" s="48"/>
      <c r="X7" s="48"/>
    </row>
    <row r="8">
      <c r="B8" s="117" t="s">
        <v>51</v>
      </c>
      <c r="C8" s="112" t="s">
        <v>39</v>
      </c>
      <c r="D8" s="114">
        <v>6981.0</v>
      </c>
      <c r="E8" s="114">
        <v>9648.0</v>
      </c>
      <c r="F8" s="114">
        <v>537.0</v>
      </c>
      <c r="G8" s="114">
        <v>17141.0</v>
      </c>
      <c r="H8" s="114">
        <v>8541.0</v>
      </c>
      <c r="I8" s="114">
        <v>9940.0</v>
      </c>
      <c r="L8" s="88" t="s">
        <v>40</v>
      </c>
      <c r="M8" s="88">
        <v>45.0</v>
      </c>
      <c r="N8" s="88">
        <v>0.0</v>
      </c>
      <c r="Q8" s="48"/>
      <c r="R8" s="48"/>
      <c r="S8" s="48"/>
      <c r="T8" s="48"/>
      <c r="U8" s="48"/>
      <c r="V8" s="48"/>
      <c r="W8" s="48"/>
      <c r="X8" s="48"/>
    </row>
    <row r="9">
      <c r="B9" s="115"/>
      <c r="C9" s="112" t="s">
        <v>40</v>
      </c>
      <c r="D9" s="114">
        <v>12472.0</v>
      </c>
      <c r="E9" s="114">
        <v>9762.0</v>
      </c>
      <c r="F9" s="114">
        <v>23249.0</v>
      </c>
      <c r="G9" s="114">
        <v>533.0</v>
      </c>
      <c r="H9" s="114">
        <v>12669.0</v>
      </c>
      <c r="I9" s="114">
        <v>10842.0</v>
      </c>
      <c r="Q9" s="48"/>
      <c r="R9" s="48"/>
      <c r="S9" s="48"/>
      <c r="T9" s="48"/>
      <c r="U9" s="48"/>
      <c r="V9" s="48"/>
      <c r="W9" s="48"/>
      <c r="X9" s="48"/>
    </row>
    <row r="11">
      <c r="B11" s="118" t="s">
        <v>52</v>
      </c>
      <c r="C11" s="4"/>
      <c r="D11" s="109" t="s">
        <v>49</v>
      </c>
      <c r="E11" s="93"/>
      <c r="F11" s="110" t="s">
        <v>50</v>
      </c>
      <c r="G11" s="93"/>
      <c r="H11" s="111" t="s">
        <v>51</v>
      </c>
      <c r="I11" s="93"/>
      <c r="L11" s="48"/>
      <c r="M11" s="48"/>
      <c r="N11" s="48"/>
      <c r="O11" s="48"/>
      <c r="P11" s="48"/>
      <c r="Q11" s="48"/>
      <c r="R11" s="48"/>
      <c r="S11" s="48"/>
      <c r="V11" s="48"/>
      <c r="W11" s="48"/>
      <c r="X11" s="48"/>
    </row>
    <row r="12">
      <c r="B12" s="12"/>
      <c r="C12" s="13"/>
      <c r="D12" s="112" t="s">
        <v>35</v>
      </c>
      <c r="E12" s="112" t="s">
        <v>36</v>
      </c>
      <c r="F12" s="112" t="s">
        <v>37</v>
      </c>
      <c r="G12" s="112" t="s">
        <v>38</v>
      </c>
      <c r="H12" s="112" t="s">
        <v>39</v>
      </c>
      <c r="I12" s="112" t="s">
        <v>40</v>
      </c>
      <c r="L12" s="48"/>
      <c r="M12" s="48"/>
      <c r="N12" s="48"/>
      <c r="O12" s="48"/>
      <c r="P12" s="48"/>
      <c r="Q12" s="48"/>
      <c r="R12" s="48"/>
      <c r="S12" s="48"/>
      <c r="V12" s="48"/>
      <c r="W12" s="48"/>
      <c r="X12" s="48"/>
    </row>
    <row r="13">
      <c r="B13" s="113" t="s">
        <v>49</v>
      </c>
      <c r="C13" s="112" t="s">
        <v>35</v>
      </c>
      <c r="D13" s="8">
        <f>D4/(D4+E4+D5+E5)</f>
        <v>0.3987591653</v>
      </c>
      <c r="E13" s="8">
        <f>E4/(D4+E4+D5+E5)</f>
        <v>0.01176375796</v>
      </c>
      <c r="F13" s="8">
        <f>F4/(F4+G4+F5+G5)</f>
        <v>0.190942375</v>
      </c>
      <c r="G13" s="8">
        <f>G4/(F4+G4+F5+G5)</f>
        <v>0.1918974849</v>
      </c>
      <c r="H13" s="8">
        <f>H4/(H4+I4+H5+I5)</f>
        <v>0.177497304</v>
      </c>
      <c r="I13" s="8">
        <f>I4/(H4+I4+H5+I5)</f>
        <v>0.2064145065</v>
      </c>
      <c r="L13" s="48"/>
      <c r="M13" s="48"/>
      <c r="N13" s="48"/>
      <c r="O13" s="48"/>
      <c r="P13" s="48"/>
      <c r="Q13" s="48"/>
      <c r="R13" s="48"/>
      <c r="S13" s="48"/>
    </row>
    <row r="14">
      <c r="B14" s="115"/>
      <c r="C14" s="112" t="s">
        <v>36</v>
      </c>
      <c r="D14" s="8">
        <f>D5/(D4+E4+D5+E5)</f>
        <v>0.01486584482</v>
      </c>
      <c r="E14" s="8">
        <f>E5/(D4+E4+D5+E5)</f>
        <v>0.574611232</v>
      </c>
      <c r="F14" s="8">
        <f>F5/(F4+G4+F5+G5)</f>
        <v>0.341451767</v>
      </c>
      <c r="G14" s="8">
        <f>G5/(F4+G4+F5+G5)</f>
        <v>0.2757083731</v>
      </c>
      <c r="H14" s="8">
        <f>H5/(H4+I4+H5+I5)</f>
        <v>0.3408555338</v>
      </c>
      <c r="I14" s="8">
        <f>I5/(H4+I4+H5+I5)</f>
        <v>0.2752326557</v>
      </c>
      <c r="L14" s="48"/>
      <c r="M14" s="48"/>
      <c r="N14" s="48"/>
      <c r="O14" s="48"/>
      <c r="P14" s="48"/>
      <c r="Q14" s="48"/>
      <c r="R14" s="48"/>
      <c r="S14" s="48"/>
    </row>
    <row r="15">
      <c r="B15" s="119" t="s">
        <v>50</v>
      </c>
      <c r="C15" s="112" t="s">
        <v>37</v>
      </c>
      <c r="D15" s="8">
        <f>D6/(D6+E6+D7+E7)</f>
        <v>0.217271873</v>
      </c>
      <c r="E15" s="8">
        <f>E6/(D6+E6+D7+E7)</f>
        <v>0.2671501892</v>
      </c>
      <c r="F15" s="8">
        <f>F6/(F6+G6+F7+G7)</f>
        <v>0.2706599121</v>
      </c>
      <c r="G15" s="8">
        <f>G6/(F6+G6+F7+G7)</f>
        <v>0.2091097771</v>
      </c>
      <c r="H15" s="8">
        <f>H6/(H6+I6+H7+I7)</f>
        <v>0.01298180766</v>
      </c>
      <c r="I15" s="8">
        <f>I6/(H6+I6+H7+I7)</f>
        <v>0.4601082188</v>
      </c>
      <c r="L15" s="48"/>
      <c r="M15" s="48"/>
      <c r="N15" s="48"/>
      <c r="O15" s="48"/>
      <c r="P15" s="48"/>
      <c r="Q15" s="48"/>
      <c r="R15" s="48"/>
      <c r="S15" s="48"/>
    </row>
    <row r="16">
      <c r="B16" s="115"/>
      <c r="C16" s="112" t="s">
        <v>38</v>
      </c>
      <c r="D16" s="8">
        <f>D7/(D6+E6+D7+E7)</f>
        <v>0.3028842678</v>
      </c>
      <c r="E16" s="8">
        <f>E7/(D6+E6+D7+E7)</f>
        <v>0.21269367</v>
      </c>
      <c r="F16" s="8">
        <f>F7/(F6+G6+F7+G7)</f>
        <v>0.2489901582</v>
      </c>
      <c r="G16" s="8">
        <f>G7/(F6+G6+F7+G7)</f>
        <v>0.2712401526</v>
      </c>
      <c r="H16" s="8">
        <f>H7/(H6+I6+H7+I7)</f>
        <v>0.5107662161</v>
      </c>
      <c r="I16" s="8">
        <f>I7/(H6+I6+H7+I7)</f>
        <v>0.01614375738</v>
      </c>
      <c r="L16" s="48"/>
      <c r="M16" s="48"/>
      <c r="N16" s="48"/>
      <c r="O16" s="48"/>
      <c r="P16" s="48"/>
      <c r="Q16" s="48"/>
      <c r="R16" s="48"/>
      <c r="S16" s="48"/>
    </row>
    <row r="17">
      <c r="B17" s="117" t="s">
        <v>51</v>
      </c>
      <c r="C17" s="112" t="s">
        <v>39</v>
      </c>
      <c r="D17" s="8">
        <f>D8/(D8+E8+D9+E9)</f>
        <v>0.1796310115</v>
      </c>
      <c r="E17" s="8">
        <f>E8/(D8+E8+D9+E9)</f>
        <v>0.2482566966</v>
      </c>
      <c r="F17" s="8">
        <f>F8/(F8+G8+F9+G9)</f>
        <v>0.01295224313</v>
      </c>
      <c r="G17" s="8">
        <f>G8/(F8+G8+F9+G9)</f>
        <v>0.4134346358</v>
      </c>
      <c r="H17" s="8">
        <f>H8/(H8+I8+H9+I9)</f>
        <v>0.2033958849</v>
      </c>
      <c r="I17" s="8">
        <f>I8/(H8+I8+H9+I9)</f>
        <v>0.2367117546</v>
      </c>
      <c r="L17" s="48"/>
      <c r="M17" s="48"/>
      <c r="N17" s="48"/>
      <c r="O17" s="48"/>
      <c r="P17" s="48"/>
      <c r="Q17" s="48"/>
      <c r="R17" s="48"/>
      <c r="S17" s="48"/>
    </row>
    <row r="18">
      <c r="B18" s="115"/>
      <c r="C18" s="112" t="s">
        <v>40</v>
      </c>
      <c r="D18" s="8">
        <f>D9/(D8+E8+D9+E9)</f>
        <v>0.3209222139</v>
      </c>
      <c r="E18" s="8">
        <f>E9/(D8+E8+D9+E9)</f>
        <v>0.251190078</v>
      </c>
      <c r="F18" s="8">
        <f>F9/(F8+G8+F9+G9)</f>
        <v>0.5607573565</v>
      </c>
      <c r="G18" s="8">
        <f>G9/(F8+G8+F9+G9)</f>
        <v>0.01285576459</v>
      </c>
      <c r="H18" s="8">
        <f>H9/(H8+I8+H9+I9)</f>
        <v>0.3017003239</v>
      </c>
      <c r="I18" s="8">
        <f>I9/(H8+I8+H9+I9)</f>
        <v>0.2581920366</v>
      </c>
      <c r="L18" s="48"/>
      <c r="M18" s="48"/>
      <c r="N18" s="48"/>
      <c r="O18" s="48"/>
      <c r="P18" s="48"/>
      <c r="Q18" s="48"/>
      <c r="R18" s="48"/>
      <c r="S18" s="48"/>
    </row>
    <row r="20">
      <c r="B20" s="48"/>
      <c r="C20" s="120" t="s">
        <v>53</v>
      </c>
      <c r="D20" s="121" t="s">
        <v>49</v>
      </c>
      <c r="E20" s="122" t="s">
        <v>50</v>
      </c>
      <c r="F20" s="98" t="s">
        <v>51</v>
      </c>
      <c r="G20" s="123">
        <v>0.0</v>
      </c>
      <c r="H20" s="48"/>
      <c r="I20" s="48"/>
      <c r="K20" s="48"/>
    </row>
    <row r="21">
      <c r="B21" s="48"/>
      <c r="C21" s="124" t="s">
        <v>49</v>
      </c>
      <c r="D21" s="125">
        <f>D13-E13-D14+E14</f>
        <v>0.9467407945</v>
      </c>
      <c r="E21" s="125">
        <f>F13-G13-F14+G14</f>
        <v>-0.06669850366</v>
      </c>
      <c r="F21" s="125">
        <f>H13-I13-H14+I14</f>
        <v>-0.09454008068</v>
      </c>
      <c r="G21" s="125">
        <f>(SUM(D13:I13)-SUM(D14:I14))/3</f>
        <v>-0.2151502709</v>
      </c>
      <c r="H21" s="48"/>
      <c r="I21" s="48"/>
      <c r="K21" s="48"/>
    </row>
    <row r="22">
      <c r="B22" s="48"/>
      <c r="C22" s="122" t="s">
        <v>50</v>
      </c>
      <c r="D22" s="126">
        <f>D15-E15-D16+E16</f>
        <v>-0.140068914</v>
      </c>
      <c r="E22" s="126">
        <f>F15-G15-F16+G16</f>
        <v>0.08380012944</v>
      </c>
      <c r="F22" s="126">
        <f>H15-I15-H16+I16</f>
        <v>-0.9417488699</v>
      </c>
      <c r="G22" s="125">
        <f>(SUM(D15:I15)-SUM(D16:I16))/3</f>
        <v>-0.04181214817</v>
      </c>
      <c r="K22" s="48"/>
    </row>
    <row r="23">
      <c r="B23" s="48"/>
      <c r="C23" s="98" t="s">
        <v>51</v>
      </c>
      <c r="D23" s="8">
        <f>D17-E17-D18+E18</f>
        <v>-0.1383578211</v>
      </c>
      <c r="E23" s="8">
        <f>F17-G17-F18+G18</f>
        <v>-0.9483839846</v>
      </c>
      <c r="F23" s="8">
        <f>H17-I17-H18+I18</f>
        <v>-0.07682415698</v>
      </c>
      <c r="G23" s="8">
        <f>(SUM(D17:I17)-SUM(D18:I18))/3</f>
        <v>-0.1370785156</v>
      </c>
      <c r="K23" s="48"/>
    </row>
    <row r="24">
      <c r="B24" s="48"/>
      <c r="C24" s="123">
        <v>0.0</v>
      </c>
      <c r="D24" s="127">
        <f>(SUM(D13:D18)-SUM(E13:E18))/3</f>
        <v>-0.04377708245</v>
      </c>
      <c r="E24" s="127">
        <f>(SUM(F13:F18)-SUM(G13:G18))/3</f>
        <v>0.0838358746</v>
      </c>
      <c r="F24" s="127">
        <f>(SUM(H13:H18)-SUM(I13:I18))/3</f>
        <v>0.03146471359</v>
      </c>
      <c r="G24" s="128">
        <v>1.0</v>
      </c>
      <c r="K24" s="48"/>
    </row>
    <row r="25">
      <c r="B25" s="48"/>
      <c r="C25" s="48"/>
    </row>
    <row r="26">
      <c r="B26" s="98" t="s">
        <v>45</v>
      </c>
      <c r="C26" s="125">
        <f>SUMSQ(D21:G24)/4</f>
        <v>0.9561194237</v>
      </c>
    </row>
    <row r="27">
      <c r="B27" s="48"/>
      <c r="C27" s="48"/>
    </row>
    <row r="30">
      <c r="A30" s="107" t="s">
        <v>47</v>
      </c>
      <c r="B30" s="108" t="s">
        <v>48</v>
      </c>
      <c r="C30" s="4"/>
      <c r="D30" s="109" t="s">
        <v>49</v>
      </c>
      <c r="E30" s="93"/>
      <c r="F30" s="110" t="s">
        <v>50</v>
      </c>
      <c r="G30" s="93"/>
      <c r="H30" s="111" t="s">
        <v>51</v>
      </c>
      <c r="I30" s="93"/>
      <c r="L30" s="48"/>
      <c r="M30" s="48"/>
      <c r="N30" s="48"/>
      <c r="O30" s="48"/>
      <c r="P30" s="48"/>
      <c r="Q30" s="48"/>
      <c r="R30" s="48"/>
      <c r="S30" s="48"/>
    </row>
    <row r="31">
      <c r="B31" s="12"/>
      <c r="C31" s="13"/>
      <c r="D31" s="112" t="s">
        <v>35</v>
      </c>
      <c r="E31" s="112" t="s">
        <v>36</v>
      </c>
      <c r="F31" s="112" t="s">
        <v>37</v>
      </c>
      <c r="G31" s="112" t="s">
        <v>38</v>
      </c>
      <c r="H31" s="112" t="s">
        <v>39</v>
      </c>
      <c r="I31" s="112" t="s">
        <v>40</v>
      </c>
      <c r="L31" s="48"/>
      <c r="M31" s="48"/>
      <c r="N31" s="48"/>
      <c r="O31" s="48"/>
      <c r="P31" s="48"/>
      <c r="Q31" s="48"/>
      <c r="R31" s="48"/>
      <c r="S31" s="48"/>
    </row>
    <row r="32">
      <c r="B32" s="113" t="s">
        <v>49</v>
      </c>
      <c r="C32" s="112" t="s">
        <v>35</v>
      </c>
      <c r="D32" s="114">
        <v>5563.0</v>
      </c>
      <c r="E32" s="114">
        <v>144.0</v>
      </c>
      <c r="F32" s="114">
        <v>3410.0</v>
      </c>
      <c r="G32" s="114">
        <v>2429.0</v>
      </c>
      <c r="H32" s="114">
        <v>2769.0</v>
      </c>
      <c r="I32" s="114">
        <v>3371.0</v>
      </c>
      <c r="L32" s="48"/>
      <c r="M32" s="48"/>
      <c r="N32" s="48"/>
      <c r="O32" s="48"/>
      <c r="P32" s="48"/>
      <c r="Q32" s="48"/>
      <c r="R32" s="48"/>
      <c r="S32" s="48"/>
    </row>
    <row r="33">
      <c r="B33" s="115"/>
      <c r="C33" s="112" t="s">
        <v>36</v>
      </c>
      <c r="D33" s="114">
        <v>194.0</v>
      </c>
      <c r="E33" s="114">
        <v>6201.0</v>
      </c>
      <c r="F33" s="114">
        <v>3461.0</v>
      </c>
      <c r="G33" s="114">
        <v>3705.0</v>
      </c>
      <c r="H33" s="114">
        <v>3991.0</v>
      </c>
      <c r="I33" s="114">
        <v>3284.0</v>
      </c>
      <c r="L33" s="48"/>
      <c r="M33" s="48"/>
      <c r="N33" s="48"/>
      <c r="O33" s="48"/>
      <c r="P33" s="48"/>
      <c r="Q33" s="48"/>
      <c r="R33" s="48"/>
      <c r="S33" s="48"/>
    </row>
    <row r="34">
      <c r="B34" s="116" t="s">
        <v>50</v>
      </c>
      <c r="C34" s="112" t="s">
        <v>37</v>
      </c>
      <c r="D34" s="114">
        <v>10120.0</v>
      </c>
      <c r="E34" s="114">
        <v>6969.0</v>
      </c>
      <c r="F34" s="114">
        <v>6784.0</v>
      </c>
      <c r="G34" s="114">
        <v>12616.0</v>
      </c>
      <c r="H34" s="114">
        <v>18644.0</v>
      </c>
      <c r="I34" s="114">
        <v>1315.0</v>
      </c>
      <c r="L34" s="48"/>
      <c r="M34" s="48"/>
      <c r="N34" s="48"/>
      <c r="O34" s="48"/>
      <c r="P34" s="48"/>
      <c r="Q34" s="48"/>
      <c r="R34" s="48"/>
      <c r="S34" s="48"/>
    </row>
    <row r="35">
      <c r="B35" s="115"/>
      <c r="C35" s="112" t="s">
        <v>38</v>
      </c>
      <c r="D35" s="114">
        <v>11959.0</v>
      </c>
      <c r="E35" s="114">
        <v>9592.0</v>
      </c>
      <c r="F35" s="114">
        <v>16994.0</v>
      </c>
      <c r="G35" s="114">
        <v>9348.0</v>
      </c>
      <c r="H35" s="114">
        <v>1464.0</v>
      </c>
      <c r="I35" s="114">
        <v>25010.0</v>
      </c>
      <c r="L35" s="48"/>
      <c r="M35" s="48"/>
      <c r="N35" s="48"/>
      <c r="O35" s="48"/>
      <c r="P35" s="48"/>
      <c r="Q35" s="48"/>
      <c r="R35" s="48"/>
      <c r="S35" s="48"/>
    </row>
    <row r="36">
      <c r="B36" s="117" t="s">
        <v>51</v>
      </c>
      <c r="C36" s="112" t="s">
        <v>39</v>
      </c>
      <c r="D36" s="114">
        <v>5262.0</v>
      </c>
      <c r="E36" s="114">
        <v>6732.0</v>
      </c>
      <c r="F36" s="114">
        <v>13323.0</v>
      </c>
      <c r="G36" s="114">
        <v>1241.0</v>
      </c>
      <c r="H36" s="114">
        <v>9938.0</v>
      </c>
      <c r="I36" s="114">
        <v>4398.0</v>
      </c>
      <c r="L36" s="48"/>
      <c r="M36" s="48"/>
      <c r="N36" s="48"/>
      <c r="O36" s="48"/>
      <c r="P36" s="48"/>
      <c r="Q36" s="48"/>
      <c r="R36" s="48"/>
      <c r="S36" s="48"/>
    </row>
    <row r="37">
      <c r="B37" s="115"/>
      <c r="C37" s="112" t="s">
        <v>40</v>
      </c>
      <c r="D37" s="114">
        <v>11763.0</v>
      </c>
      <c r="E37" s="114">
        <v>8762.0</v>
      </c>
      <c r="F37" s="114">
        <v>1503.0</v>
      </c>
      <c r="G37" s="114">
        <v>20601.0</v>
      </c>
      <c r="H37" s="114">
        <v>7831.0</v>
      </c>
      <c r="I37" s="114">
        <v>14872.0</v>
      </c>
      <c r="L37" s="48"/>
      <c r="M37" s="48"/>
      <c r="N37" s="48"/>
      <c r="O37" s="48"/>
      <c r="P37" s="48"/>
      <c r="Q37" s="48"/>
      <c r="R37" s="48"/>
      <c r="S37" s="48"/>
    </row>
    <row r="39">
      <c r="B39" s="118" t="s">
        <v>52</v>
      </c>
      <c r="C39" s="4"/>
      <c r="D39" s="109" t="s">
        <v>49</v>
      </c>
      <c r="E39" s="93"/>
      <c r="F39" s="110" t="s">
        <v>50</v>
      </c>
      <c r="G39" s="93"/>
      <c r="H39" s="111" t="s">
        <v>51</v>
      </c>
      <c r="I39" s="93"/>
    </row>
    <row r="40">
      <c r="B40" s="12"/>
      <c r="C40" s="13"/>
      <c r="D40" s="112" t="s">
        <v>35</v>
      </c>
      <c r="E40" s="112" t="s">
        <v>36</v>
      </c>
      <c r="F40" s="112" t="s">
        <v>37</v>
      </c>
      <c r="G40" s="112" t="s">
        <v>38</v>
      </c>
      <c r="H40" s="112" t="s">
        <v>39</v>
      </c>
      <c r="I40" s="112" t="s">
        <v>40</v>
      </c>
      <c r="L40" s="48"/>
      <c r="M40" s="48"/>
      <c r="N40" s="48"/>
      <c r="O40" s="48"/>
      <c r="P40" s="48"/>
      <c r="Q40" s="48"/>
      <c r="R40" s="48"/>
      <c r="S40" s="48"/>
    </row>
    <row r="41">
      <c r="B41" s="113" t="s">
        <v>49</v>
      </c>
      <c r="C41" s="112" t="s">
        <v>35</v>
      </c>
      <c r="D41" s="8">
        <f>D32/(D32+E32+D33+E33)</f>
        <v>0.4596760866</v>
      </c>
      <c r="E41" s="8">
        <f>E32/(D32+E32+D33+E33)</f>
        <v>0.01189885969</v>
      </c>
      <c r="F41" s="8">
        <f>F32/(F32+G32+F33+G33)</f>
        <v>0.2622068435</v>
      </c>
      <c r="G41" s="8">
        <f>G32/(F32+G32+F33+G33)</f>
        <v>0.1867743176</v>
      </c>
      <c r="H41" s="8">
        <f>H32/(H32+I32+H33+I33)</f>
        <v>0.2064107343</v>
      </c>
      <c r="I41" s="8">
        <f>I32/(H32+I32+H33+I33)</f>
        <v>0.251285874</v>
      </c>
      <c r="L41" s="48"/>
      <c r="M41" s="48"/>
    </row>
    <row r="42">
      <c r="B42" s="115"/>
      <c r="C42" s="112" t="s">
        <v>36</v>
      </c>
      <c r="D42" s="8">
        <f>D33/(D32+E32+D33+E33)</f>
        <v>0.0160304082</v>
      </c>
      <c r="E42" s="8">
        <f>E33/(D32+E32+D33+E33)</f>
        <v>0.5123946455</v>
      </c>
      <c r="F42" s="8">
        <f>F33/(F32+G32+F33+G33)</f>
        <v>0.2661284121</v>
      </c>
      <c r="G42" s="8">
        <f>G33/(F32+G32+F33+G33)</f>
        <v>0.2848904268</v>
      </c>
      <c r="H42" s="8">
        <f>H33/(H32+I32+H33+I33)</f>
        <v>0.2975027954</v>
      </c>
      <c r="I42" s="8">
        <f>I33/(H32+I32+H33+I33)</f>
        <v>0.2448005963</v>
      </c>
      <c r="L42" s="48"/>
      <c r="M42" s="48"/>
    </row>
    <row r="43">
      <c r="B43" s="119" t="s">
        <v>50</v>
      </c>
      <c r="C43" s="112" t="s">
        <v>37</v>
      </c>
      <c r="D43" s="8">
        <f>D34/(D34+E34+D35+E35)</f>
        <v>0.2619047619</v>
      </c>
      <c r="E43" s="8">
        <f>E34/(D34+E34+D35+E35)</f>
        <v>0.1803571429</v>
      </c>
      <c r="F43" s="8">
        <f>F34/(F34+G34+F35+G35)</f>
        <v>0.148310087</v>
      </c>
      <c r="G43" s="8">
        <f>G34/(F34+G34+F35+G35)</f>
        <v>0.2758077915</v>
      </c>
      <c r="H43" s="8">
        <f>H34/(H34+I34+H35+I35)</f>
        <v>0.4015247776</v>
      </c>
      <c r="I43" s="8">
        <f>I34/(H34+I34+H35+I35)</f>
        <v>0.02832037559</v>
      </c>
      <c r="L43" s="48"/>
      <c r="M43" s="48"/>
    </row>
    <row r="44">
      <c r="B44" s="115"/>
      <c r="C44" s="112" t="s">
        <v>38</v>
      </c>
      <c r="D44" s="8">
        <f>D35/(D34+E34+D35+E35)</f>
        <v>0.3094979296</v>
      </c>
      <c r="E44" s="8">
        <f>E35/(D34+E34+D35+E35)</f>
        <v>0.2482401656</v>
      </c>
      <c r="F44" s="8">
        <f>F35/(F34+G34+F35+G35)</f>
        <v>0.3715185169</v>
      </c>
      <c r="G44" s="8">
        <f>G35/(F34+G34+F35+G35)</f>
        <v>0.2043636046</v>
      </c>
      <c r="H44" s="8">
        <f>H35/(H34+I34+H35+I35)</f>
        <v>0.03152930028</v>
      </c>
      <c r="I44" s="8">
        <f>I35/(H34+I34+H35+I35)</f>
        <v>0.5386255465</v>
      </c>
      <c r="L44" s="48"/>
      <c r="M44" s="48"/>
    </row>
    <row r="45">
      <c r="B45" s="117" t="s">
        <v>51</v>
      </c>
      <c r="C45" s="112" t="s">
        <v>39</v>
      </c>
      <c r="D45" s="8">
        <f>D36/(D36+E36+D37+E37)</f>
        <v>0.1618130939</v>
      </c>
      <c r="E45" s="8">
        <f>E36/(D36+E36+D37+E37)</f>
        <v>0.207017436</v>
      </c>
      <c r="F45" s="8">
        <f>F36/(F36+G36+F37+G37)</f>
        <v>0.363341333</v>
      </c>
      <c r="G45" s="8">
        <f>G36/(F36+G36+F37+G37)</f>
        <v>0.03384422385</v>
      </c>
      <c r="H45" s="8">
        <f>H36/(H36+I36+H37+I37)</f>
        <v>0.2683117795</v>
      </c>
      <c r="I45" s="8">
        <f>I36/(H36+I36+H37+I37)</f>
        <v>0.1187397068</v>
      </c>
      <c r="L45" s="48"/>
      <c r="M45" s="48"/>
    </row>
    <row r="46">
      <c r="B46" s="115"/>
      <c r="C46" s="112" t="s">
        <v>40</v>
      </c>
      <c r="D46" s="8">
        <f>D37/(D36+E36+D37+E37)</f>
        <v>0.3617269904</v>
      </c>
      <c r="E46" s="8">
        <f>E37/(D36+E36+D37+E37)</f>
        <v>0.2694424798</v>
      </c>
      <c r="F46" s="8">
        <f>F37/(F36+G36+F37+G37)</f>
        <v>0.04098941857</v>
      </c>
      <c r="G46" s="8">
        <f>G37/(F36+G36+F37+G37)</f>
        <v>0.5618250245</v>
      </c>
      <c r="H46" s="8">
        <f>H37/(H36+I36+H37+I37)</f>
        <v>0.2114257944</v>
      </c>
      <c r="I46" s="8">
        <f>I37/(H36+I36+H37+I37)</f>
        <v>0.4015227193</v>
      </c>
      <c r="L46" s="48"/>
      <c r="M46" s="48"/>
    </row>
    <row r="48">
      <c r="B48" s="48"/>
      <c r="C48" s="120" t="s">
        <v>53</v>
      </c>
      <c r="D48" s="121" t="s">
        <v>49</v>
      </c>
      <c r="E48" s="122" t="s">
        <v>50</v>
      </c>
      <c r="F48" s="98" t="s">
        <v>51</v>
      </c>
      <c r="G48" s="123">
        <v>0.0</v>
      </c>
      <c r="H48" s="48"/>
      <c r="I48" s="48"/>
    </row>
    <row r="49">
      <c r="B49" s="48"/>
      <c r="C49" s="124" t="s">
        <v>49</v>
      </c>
      <c r="D49" s="125">
        <f>D41-E41-D42+E42</f>
        <v>0.9441414642</v>
      </c>
      <c r="E49" s="125">
        <f>F41-G41-F42+G42</f>
        <v>0.09419454056</v>
      </c>
      <c r="F49" s="125">
        <f>H41-I41-H42+I42</f>
        <v>-0.0975773388</v>
      </c>
      <c r="G49" s="125">
        <f>(SUM(D41:I41)-SUM(D42:I42))/3</f>
        <v>-0.08116485623</v>
      </c>
      <c r="H49" s="48"/>
      <c r="I49" s="48"/>
    </row>
    <row r="50">
      <c r="B50" s="48"/>
      <c r="C50" s="122" t="s">
        <v>50</v>
      </c>
      <c r="D50" s="126">
        <f>D43-E43-D44+E44</f>
        <v>0.02028985507</v>
      </c>
      <c r="E50" s="126">
        <f>F43-G43-F44+G44</f>
        <v>-0.2946526169</v>
      </c>
      <c r="F50" s="126">
        <f>H43-I43-H44+I44</f>
        <v>0.8803006482</v>
      </c>
      <c r="G50" s="125">
        <f>(SUM(D43:I43)-SUM(D44:I44))/3</f>
        <v>-0.1358500423</v>
      </c>
    </row>
    <row r="51">
      <c r="B51" s="48"/>
      <c r="C51" s="111" t="s">
        <v>51</v>
      </c>
      <c r="D51" s="8">
        <f>D45-E45-D46+E46</f>
        <v>-0.1374888527</v>
      </c>
      <c r="E51" s="8">
        <f>F45-G45-F46+G46</f>
        <v>0.8503327152</v>
      </c>
      <c r="F51" s="8">
        <f>H45-I45-H46+I46</f>
        <v>0.3396689975</v>
      </c>
      <c r="G51" s="8">
        <f>(SUM(D45:I45)-SUM(D46:I46))/3</f>
        <v>-0.2312882847</v>
      </c>
    </row>
    <row r="52">
      <c r="B52" s="48"/>
      <c r="C52" s="123">
        <v>0.0</v>
      </c>
      <c r="D52" s="127">
        <f>(SUM(D41:D46)-SUM(E41:E46))/3</f>
        <v>0.04709951371</v>
      </c>
      <c r="E52" s="127">
        <f>(SUM(F41:F46)-SUM(G41:G46))/3</f>
        <v>-0.03167025921</v>
      </c>
      <c r="F52" s="127">
        <f>(SUM(H41:H46)-SUM(I41:I46))/3</f>
        <v>-0.05552987903</v>
      </c>
      <c r="G52" s="128">
        <v>1.0</v>
      </c>
    </row>
    <row r="53">
      <c r="B53" s="48"/>
      <c r="C53" s="48"/>
    </row>
    <row r="54">
      <c r="B54" s="98" t="s">
        <v>45</v>
      </c>
      <c r="C54" s="125">
        <f>SUMSQ(D49:G52)/4</f>
        <v>0.9285360604</v>
      </c>
    </row>
  </sheetData>
  <mergeCells count="28">
    <mergeCell ref="B2:C3"/>
    <mergeCell ref="D2:E2"/>
    <mergeCell ref="F2:G2"/>
    <mergeCell ref="H2:I2"/>
    <mergeCell ref="B4:B5"/>
    <mergeCell ref="B6:B7"/>
    <mergeCell ref="B8:B9"/>
    <mergeCell ref="D11:E11"/>
    <mergeCell ref="F11:G11"/>
    <mergeCell ref="H11:I11"/>
    <mergeCell ref="B11:C12"/>
    <mergeCell ref="B13:B14"/>
    <mergeCell ref="B15:B16"/>
    <mergeCell ref="B17:B18"/>
    <mergeCell ref="D30:E30"/>
    <mergeCell ref="F30:G30"/>
    <mergeCell ref="H30:I30"/>
    <mergeCell ref="B39:C40"/>
    <mergeCell ref="B41:B42"/>
    <mergeCell ref="B43:B44"/>
    <mergeCell ref="B45:B46"/>
    <mergeCell ref="B30:C31"/>
    <mergeCell ref="B32:B33"/>
    <mergeCell ref="B34:B35"/>
    <mergeCell ref="B36:B37"/>
    <mergeCell ref="D39:E39"/>
    <mergeCell ref="F39:G39"/>
    <mergeCell ref="H39:I39"/>
  </mergeCells>
  <drawing r:id="rId1"/>
</worksheet>
</file>